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1. 2026_여주교육지원청\4. 여주교육지원청\"/>
    </mc:Choice>
  </mc:AlternateContent>
  <xr:revisionPtr revIDLastSave="0" documentId="13_ncr:1_{0C659A16-0083-4BEF-80E7-82A8DA0E9483}" xr6:coauthVersionLast="47" xr6:coauthVersionMax="47" xr10:uidLastSave="{00000000-0000-0000-0000-000000000000}"/>
  <bookViews>
    <workbookView xWindow="19090" yWindow="-110" windowWidth="19420" windowHeight="10300" tabRatio="784" xr2:uid="{00000000-000D-0000-FFFF-FFFF00000000}"/>
  </bookViews>
  <sheets>
    <sheet name="(초등학교) 2026 학사일정(여주시)" sheetId="30" r:id="rId1"/>
    <sheet name="(중학교) 2026 학사일정(OO시도)" sheetId="28" state="hidden" r:id="rId2"/>
    <sheet name="(고등학교) 2026 학사일정(OO시도)" sheetId="26" state="hidden" r:id="rId3"/>
  </sheets>
  <definedNames>
    <definedName name="_xlnm._FilterDatabase" localSheetId="2" hidden="1">'(고등학교) 2026 학사일정(OO시도)'!$M$11:$M$14</definedName>
    <definedName name="_xlnm._FilterDatabase" localSheetId="0" hidden="1">'(초등학교) 2026 학사일정(여주시)'!$A$1:$D$3</definedName>
    <definedName name="ㅂㅂ" localSheetId="2">#REF!</definedName>
    <definedName name="ㅂㅂ" localSheetId="1">#REF!</definedName>
    <definedName name="ㅂㅂ" localSheetId="0">#REF!</definedName>
    <definedName name="ㅂㅂ">#REF!</definedName>
    <definedName name="지역" localSheetId="2">#REF!</definedName>
    <definedName name="지역" localSheetId="1">#REF!</definedName>
    <definedName name="지역" localSheetId="0">#REF!</definedName>
    <definedName name="지역">#REF!</definedName>
    <definedName name="초">#REF!</definedName>
    <definedName name="학교급" localSheetId="2">#REF!</definedName>
    <definedName name="학교급" localSheetId="1">#REF!</definedName>
    <definedName name="학교급" localSheetId="0">#REF!</definedName>
    <definedName name="학교급">#REF!</definedName>
    <definedName name="학교급1">#REF!</definedName>
    <definedName name="학사일정" localSheetId="2">#REF!</definedName>
    <definedName name="학사일정" localSheetId="1">#REF!</definedName>
    <definedName name="학사일정" localSheetId="0">#REF!</definedName>
    <definedName name="학사일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26" l="1"/>
  <c r="J7" i="26"/>
  <c r="AI10" i="26" l="1"/>
  <c r="AI9" i="26"/>
  <c r="AI8" i="26"/>
  <c r="AI7" i="26"/>
  <c r="AF10" i="26"/>
  <c r="AF9" i="26"/>
  <c r="AF8" i="26"/>
  <c r="AF7" i="26"/>
  <c r="AC10" i="26"/>
  <c r="AC9" i="26"/>
  <c r="AC8" i="26"/>
  <c r="AC7" i="26"/>
  <c r="Z10" i="26"/>
  <c r="Z9" i="26"/>
  <c r="Z8" i="26"/>
  <c r="Z7" i="26"/>
  <c r="AI10" i="28"/>
  <c r="AI9" i="28"/>
  <c r="AI8" i="28"/>
  <c r="AI7" i="28"/>
  <c r="AF10" i="28"/>
  <c r="AF9" i="28"/>
  <c r="AF8" i="28"/>
  <c r="AF7" i="28"/>
  <c r="AC10" i="28"/>
  <c r="AC9" i="28"/>
  <c r="AC8" i="28"/>
  <c r="AC7" i="28"/>
  <c r="Z10" i="28"/>
  <c r="Z9" i="28"/>
  <c r="Z8" i="28"/>
  <c r="Z7" i="28"/>
  <c r="BA8" i="26"/>
  <c r="BA9" i="26"/>
  <c r="BA10" i="26"/>
  <c r="BA7" i="26"/>
  <c r="AZ8" i="26"/>
  <c r="AZ9" i="26"/>
  <c r="AZ10" i="26"/>
  <c r="AZ7" i="26"/>
  <c r="BA8" i="28"/>
  <c r="BA9" i="28"/>
  <c r="BA10" i="28"/>
  <c r="AZ8" i="28"/>
  <c r="AZ9" i="28"/>
  <c r="AZ10" i="28"/>
  <c r="BA7" i="28"/>
  <c r="AZ7" i="28"/>
  <c r="BB7" i="26" l="1"/>
  <c r="P10" i="28" l="1"/>
  <c r="P7" i="28"/>
  <c r="P8" i="28"/>
  <c r="P9" i="28"/>
  <c r="J9" i="28"/>
  <c r="BB9" i="28" l="1"/>
  <c r="BB10" i="28"/>
  <c r="P8" i="26" l="1"/>
  <c r="P9" i="26"/>
  <c r="P10" i="26"/>
  <c r="P7" i="26"/>
  <c r="J7" i="28" l="1"/>
  <c r="BB8" i="28" l="1"/>
  <c r="BB9" i="26"/>
  <c r="BB10" i="26"/>
  <c r="BB8" i="26"/>
  <c r="BB7" i="28"/>
</calcChain>
</file>

<file path=xl/sharedStrings.xml><?xml version="1.0" encoding="utf-8"?>
<sst xmlns="http://schemas.openxmlformats.org/spreadsheetml/2006/main" count="347" uniqueCount="125">
  <si>
    <t>학교명</t>
  </si>
  <si>
    <t>1학기</t>
    <phoneticPr fontId="7" type="noConversion"/>
  </si>
  <si>
    <t>2학기</t>
    <phoneticPr fontId="7" type="noConversion"/>
  </si>
  <si>
    <t>수업일수</t>
    <phoneticPr fontId="7" type="noConversion"/>
  </si>
  <si>
    <t>비고</t>
    <phoneticPr fontId="7" type="noConversion"/>
  </si>
  <si>
    <t>1</t>
  </si>
  <si>
    <t>지원청</t>
    <phoneticPr fontId="27" type="noConversion"/>
  </si>
  <si>
    <t>학교 개요</t>
    <phoneticPr fontId="27" type="noConversion"/>
  </si>
  <si>
    <t>시작일</t>
    <phoneticPr fontId="27" type="noConversion"/>
  </si>
  <si>
    <t>재량휴업일(토·일·공휴일 및 여름·겨울·학년말방학기간 제외)</t>
    <phoneticPr fontId="7" type="noConversion"/>
  </si>
  <si>
    <t>종료일</t>
    <phoneticPr fontId="27" type="noConversion"/>
  </si>
  <si>
    <t>5차</t>
  </si>
  <si>
    <t>6차</t>
  </si>
  <si>
    <t>7차</t>
  </si>
  <si>
    <t>8차</t>
  </si>
  <si>
    <t>중간, 기말고사 기간 및 일수</t>
    <phoneticPr fontId="7" type="noConversion"/>
  </si>
  <si>
    <t>일수</t>
    <phoneticPr fontId="27" type="noConversion"/>
  </si>
  <si>
    <t>고</t>
    <phoneticPr fontId="27" type="noConversion"/>
  </si>
  <si>
    <t>중</t>
    <phoneticPr fontId="27" type="noConversion"/>
  </si>
  <si>
    <t>개학식일</t>
    <phoneticPr fontId="27" type="noConversion"/>
  </si>
  <si>
    <t>방학식일</t>
    <phoneticPr fontId="7" type="noConversion"/>
  </si>
  <si>
    <t>개학일
(입학일)</t>
    <phoneticPr fontId="27" type="noConversion"/>
  </si>
  <si>
    <t>1~2</t>
  </si>
  <si>
    <t>여름방학</t>
    <phoneticPr fontId="7" type="noConversion"/>
  </si>
  <si>
    <t>겨울방학</t>
    <phoneticPr fontId="7" type="noConversion"/>
  </si>
  <si>
    <t>고</t>
  </si>
  <si>
    <t>1차</t>
  </si>
  <si>
    <t>2차</t>
  </si>
  <si>
    <t>3차</t>
  </si>
  <si>
    <t>4차</t>
  </si>
  <si>
    <t>연번</t>
    <phoneticPr fontId="7" type="noConversion"/>
  </si>
  <si>
    <t>학급 수</t>
    <phoneticPr fontId="7" type="noConversion"/>
  </si>
  <si>
    <t>일반학급</t>
    <phoneticPr fontId="27" type="noConversion"/>
  </si>
  <si>
    <t>특수학급</t>
    <phoneticPr fontId="27" type="noConversion"/>
  </si>
  <si>
    <t>총
수업일</t>
    <phoneticPr fontId="7" type="noConversion"/>
  </si>
  <si>
    <t>전체
학급 수</t>
    <phoneticPr fontId="27" type="noConversion"/>
  </si>
  <si>
    <t>적용학년</t>
    <phoneticPr fontId="27" type="noConversion"/>
  </si>
  <si>
    <t>학교급</t>
    <phoneticPr fontId="27" type="noConversion"/>
  </si>
  <si>
    <t>설립구분</t>
    <phoneticPr fontId="7" type="noConversion"/>
  </si>
  <si>
    <t>학교유형</t>
    <phoneticPr fontId="27" type="noConversion"/>
  </si>
  <si>
    <t>총
재량
휴업일 수</t>
    <phoneticPr fontId="27" type="noConversion"/>
  </si>
  <si>
    <t>합계일수</t>
    <phoneticPr fontId="27" type="noConversion"/>
  </si>
  <si>
    <t>`</t>
    <phoneticPr fontId="27" type="noConversion"/>
  </si>
  <si>
    <t>1학기
 재량
휴업일 수</t>
    <phoneticPr fontId="7" type="noConversion"/>
  </si>
  <si>
    <t>2학기
 재량
휴업일 수</t>
    <phoneticPr fontId="7" type="noConversion"/>
  </si>
  <si>
    <t>1학기 재량휴업일 날짜</t>
    <phoneticPr fontId="27" type="noConversion"/>
  </si>
  <si>
    <t>2학기 재량휴업일 날짜</t>
    <phoneticPr fontId="27" type="noConversion"/>
  </si>
  <si>
    <t>1학기 중간고사</t>
    <phoneticPr fontId="7" type="noConversion"/>
  </si>
  <si>
    <t>1학기 기말고사</t>
    <phoneticPr fontId="7" type="noConversion"/>
  </si>
  <si>
    <t>2학기 중간고사</t>
    <phoneticPr fontId="7" type="noConversion"/>
  </si>
  <si>
    <t>2학기 기말고사</t>
    <phoneticPr fontId="7" type="noConversion"/>
  </si>
  <si>
    <t>전체 
학생 수</t>
    <phoneticPr fontId="7" type="noConversion"/>
  </si>
  <si>
    <t>전체
교원 수</t>
    <phoneticPr fontId="7" type="noConversion"/>
  </si>
  <si>
    <t>학사일정</t>
    <phoneticPr fontId="27" type="noConversion"/>
  </si>
  <si>
    <t>초</t>
    <phoneticPr fontId="27" type="noConversion"/>
  </si>
  <si>
    <t>`</t>
    <phoneticPr fontId="27" type="noConversion"/>
  </si>
  <si>
    <t>종업식일
(1~2학년)</t>
    <phoneticPr fontId="7" type="noConversion"/>
  </si>
  <si>
    <t>기본현황(2025.3.1.기준)</t>
    <phoneticPr fontId="7" type="noConversion"/>
  </si>
  <si>
    <t>기본현황(2026.3.1.기준)</t>
    <phoneticPr fontId="7" type="noConversion"/>
  </si>
  <si>
    <t>공립</t>
  </si>
  <si>
    <t>사립</t>
  </si>
  <si>
    <t>경기</t>
    <phoneticPr fontId="27" type="noConversion"/>
  </si>
  <si>
    <t>수원</t>
    <phoneticPr fontId="27" type="noConversion"/>
  </si>
  <si>
    <t>일반중</t>
  </si>
  <si>
    <t>대한중학교</t>
    <phoneticPr fontId="27" type="noConversion"/>
  </si>
  <si>
    <t>용인</t>
    <phoneticPr fontId="27" type="noConversion"/>
  </si>
  <si>
    <t>특성화중</t>
  </si>
  <si>
    <t>민국중학교</t>
    <phoneticPr fontId="27" type="noConversion"/>
  </si>
  <si>
    <t>일반고</t>
  </si>
  <si>
    <t>자율고</t>
  </si>
  <si>
    <t>대한고등학교</t>
    <phoneticPr fontId="27" type="noConversion"/>
  </si>
  <si>
    <t>민국고등학교</t>
    <phoneticPr fontId="27" type="noConversion"/>
  </si>
  <si>
    <r>
      <t xml:space="preserve">2026학년도 학사일정 현황 </t>
    </r>
    <r>
      <rPr>
        <sz val="16"/>
        <color rgb="FF0000FF"/>
        <rFont val="HY헤드라인M"/>
        <family val="1"/>
        <charset val="129"/>
      </rPr>
      <t xml:space="preserve">(고등학교) </t>
    </r>
    <r>
      <rPr>
        <sz val="16"/>
        <color rgb="FF000000"/>
        <rFont val="HY헤드라인M"/>
        <family val="1"/>
        <charset val="129"/>
      </rPr>
      <t>- (</t>
    </r>
    <r>
      <rPr>
        <sz val="16"/>
        <color rgb="FFFF0000"/>
        <rFont val="HY헤드라인M"/>
        <family val="1"/>
        <charset val="129"/>
      </rPr>
      <t>00시/도 : 전체 고등학교 총 000교 중 본교 000교, 분교 0교</t>
    </r>
    <r>
      <rPr>
        <sz val="16"/>
        <color rgb="FF000000"/>
        <rFont val="HY헤드라인M"/>
        <family val="1"/>
        <charset val="129"/>
      </rPr>
      <t>)</t>
    </r>
    <phoneticPr fontId="27" type="noConversion"/>
  </si>
  <si>
    <r>
      <t xml:space="preserve">2026학년도 학사일정 현황 </t>
    </r>
    <r>
      <rPr>
        <sz val="16"/>
        <color rgb="FF0000FF"/>
        <rFont val="HY헤드라인M"/>
        <family val="1"/>
        <charset val="129"/>
      </rPr>
      <t xml:space="preserve">(중학교) </t>
    </r>
    <r>
      <rPr>
        <sz val="16"/>
        <color rgb="FF000000"/>
        <rFont val="HY헤드라인M"/>
        <family val="1"/>
        <charset val="129"/>
      </rPr>
      <t>- (</t>
    </r>
    <r>
      <rPr>
        <sz val="16"/>
        <color rgb="FFFF0000"/>
        <rFont val="HY헤드라인M"/>
        <family val="1"/>
        <charset val="129"/>
      </rPr>
      <t>00시/도 : 전체 중학교 총 000교 중 본교 000교, 분교 0교</t>
    </r>
    <r>
      <rPr>
        <sz val="16"/>
        <color rgb="FF000000"/>
        <rFont val="HY헤드라인M"/>
        <family val="1"/>
        <charset val="129"/>
      </rPr>
      <t>)</t>
    </r>
    <phoneticPr fontId="27" type="noConversion"/>
  </si>
  <si>
    <t>시도</t>
    <phoneticPr fontId="27" type="noConversion"/>
  </si>
  <si>
    <t>졸업식일
(3학년)</t>
    <phoneticPr fontId="27" type="noConversion"/>
  </si>
  <si>
    <r>
      <rPr>
        <b/>
        <sz val="12"/>
        <color rgb="FF000000"/>
        <rFont val="맑은 고딕"/>
        <family val="3"/>
        <charset val="129"/>
      </rPr>
      <t xml:space="preserve">&lt; 자료 작성 유의사항 안내 &gt; - 셀 병합, 삭제 등 양식 및 </t>
    </r>
    <r>
      <rPr>
        <b/>
        <sz val="12"/>
        <color rgb="FFFF0000"/>
        <rFont val="맑은 고딕"/>
        <family val="3"/>
        <charset val="129"/>
      </rPr>
      <t>서식 변경 일체 금지</t>
    </r>
    <r>
      <rPr>
        <b/>
        <sz val="12"/>
        <color rgb="FF000000"/>
        <rFont val="맑은 고딕"/>
        <family val="3"/>
        <charset val="129"/>
      </rPr>
      <t xml:space="preserve">, </t>
    </r>
    <r>
      <rPr>
        <b/>
        <sz val="12"/>
        <color rgb="FF0000FF"/>
        <rFont val="맑은 고딕"/>
        <family val="3"/>
        <charset val="129"/>
      </rPr>
      <t>흰색 셀</t>
    </r>
    <r>
      <rPr>
        <b/>
        <sz val="12"/>
        <color rgb="FF000000"/>
        <rFont val="맑은 고딕"/>
        <family val="3"/>
        <charset val="129"/>
      </rPr>
      <t>에만 입력(학교 작성), 음영 처리된 곳(굵은 청서)은 직접 입력 금지(자동 함수 적용)</t>
    </r>
    <r>
      <rPr>
        <b/>
        <sz val="12"/>
        <color rgb="FFFF0000"/>
        <rFont val="맑은 고딕"/>
        <family val="3"/>
        <charset val="129"/>
      </rPr>
      <t xml:space="preserve">
</t>
    </r>
    <r>
      <rPr>
        <sz val="11"/>
        <color rgb="FF0000FF"/>
        <rFont val="맑은 고딕"/>
        <family val="3"/>
        <charset val="129"/>
      </rPr>
      <t xml:space="preserve">   ※ 용어정의: </t>
    </r>
    <r>
      <rPr>
        <b/>
        <sz val="11"/>
        <color rgb="FF0000FF"/>
        <rFont val="맑은 고딕"/>
        <family val="3"/>
        <charset val="129"/>
      </rPr>
      <t>(방학식일)</t>
    </r>
    <r>
      <rPr>
        <sz val="11"/>
        <color rgb="FF0000FF"/>
        <rFont val="맑은 고딕"/>
        <family val="3"/>
        <charset val="129"/>
      </rPr>
      <t xml:space="preserve"> 방학 전 </t>
    </r>
    <r>
      <rPr>
        <b/>
        <sz val="11"/>
        <color rgb="FF0000FF"/>
        <rFont val="맑은 고딕"/>
        <family val="3"/>
        <charset val="129"/>
      </rPr>
      <t>등교</t>
    </r>
    <r>
      <rPr>
        <sz val="11"/>
        <color rgb="FF0000FF"/>
        <rFont val="맑은 고딕"/>
        <family val="3"/>
        <charset val="129"/>
      </rPr>
      <t xml:space="preserve"> 마지막날(방학 첫날과 구분), </t>
    </r>
    <r>
      <rPr>
        <b/>
        <sz val="11"/>
        <color rgb="FF0000FF"/>
        <rFont val="맑은 고딕"/>
        <family val="3"/>
        <charset val="129"/>
      </rPr>
      <t>(개학식일)</t>
    </r>
    <r>
      <rPr>
        <sz val="11"/>
        <color rgb="FF0000FF"/>
        <rFont val="맑은 고딕"/>
        <family val="3"/>
        <charset val="129"/>
      </rPr>
      <t xml:space="preserve"> 방학 종료 후 </t>
    </r>
    <r>
      <rPr>
        <b/>
        <sz val="11"/>
        <color rgb="FF0000FF"/>
        <rFont val="맑은 고딕"/>
        <family val="3"/>
        <charset val="129"/>
      </rPr>
      <t>등교</t>
    </r>
    <r>
      <rPr>
        <sz val="11"/>
        <color rgb="FF0000FF"/>
        <rFont val="맑은 고딕"/>
        <family val="3"/>
        <charset val="129"/>
      </rPr>
      <t xml:space="preserve"> 첫날, </t>
    </r>
    <r>
      <rPr>
        <b/>
        <sz val="11"/>
        <color rgb="FF0000FF"/>
        <rFont val="맑은 고딕"/>
        <family val="3"/>
        <charset val="129"/>
      </rPr>
      <t>(종업식일)</t>
    </r>
    <r>
      <rPr>
        <sz val="11"/>
        <color rgb="FF0000FF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1-2학년</t>
    </r>
    <r>
      <rPr>
        <sz val="11"/>
        <color rgb="FF0000FF"/>
        <rFont val="맑은 고딕"/>
        <family val="3"/>
        <charset val="129"/>
      </rPr>
      <t xml:space="preserve"> </t>
    </r>
    <r>
      <rPr>
        <b/>
        <sz val="11"/>
        <color rgb="FF0000FF"/>
        <rFont val="맑은 고딕"/>
        <family val="3"/>
        <charset val="129"/>
      </rPr>
      <t>등교</t>
    </r>
    <r>
      <rPr>
        <sz val="11"/>
        <color rgb="FF0000FF"/>
        <rFont val="맑은 고딕"/>
        <family val="3"/>
        <charset val="129"/>
      </rPr>
      <t xml:space="preserve"> 마지막날, </t>
    </r>
    <r>
      <rPr>
        <b/>
        <sz val="11"/>
        <color rgb="FF0000FF"/>
        <rFont val="맑은 고딕"/>
        <family val="3"/>
        <charset val="129"/>
      </rPr>
      <t>(졸업일)</t>
    </r>
    <r>
      <rPr>
        <sz val="11"/>
        <color rgb="FF0000FF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3학년</t>
    </r>
    <r>
      <rPr>
        <sz val="11"/>
        <color rgb="FF0000FF"/>
        <rFont val="맑은 고딕"/>
        <family val="3"/>
        <charset val="129"/>
      </rPr>
      <t xml:space="preserve"> 등교 마지막날
     - 겨울방학식과 동시에 종업식을 하여 겨울방학과 봄방학 구분이 없는 경우, '겨울방학'의 '개학식일'을 공란으로 하고 '겨울방학'의 '방학식일'과 '종업식일'에 동일 날짜 각각 기입 예시) 방학식일(27-1-8), 개학식일(공란), 종업식일(27-1-8), 졸업일(날짜 입력)
     - 겨울방학 후 개학식과 동시에 종업식을 하는 경우, '겨울방학 개학식일'과 '종업식일'을 동일한 날짜로 기입
</t>
    </r>
    <r>
      <rPr>
        <sz val="11"/>
        <color rgb="FFFF0000"/>
        <rFont val="맑은 고딕"/>
        <family val="3"/>
        <charset val="129"/>
      </rPr>
      <t xml:space="preserve">
</t>
    </r>
    <r>
      <rPr>
        <b/>
        <sz val="11"/>
        <color rgb="FFFF0000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</rPr>
      <t xml:space="preserve">1. 자료작성 대상 기간: 2026.3.1.~2027.2.28., 날짜입력방법: 모든 날짜는 "연도(두자리)-월-일"로 입력 </t>
    </r>
    <r>
      <rPr>
        <sz val="11"/>
        <rFont val="맑은 고딕"/>
        <family val="3"/>
        <charset val="129"/>
      </rPr>
      <t>예시) 2026년 3월 3일: 26-3-3</t>
    </r>
    <r>
      <rPr>
        <b/>
        <u/>
        <sz val="11"/>
        <color indexed="8"/>
        <rFont val="맑은 고딕"/>
        <family val="3"/>
        <charset val="129"/>
      </rPr>
      <t xml:space="preserve">
</t>
    </r>
    <r>
      <rPr>
        <b/>
        <sz val="11"/>
        <color rgb="FF000000"/>
        <rFont val="맑은 고딕"/>
        <family val="3"/>
        <charset val="129"/>
      </rPr>
      <t xml:space="preserve"> 2. 학교 개요 : 설립구분 - 국립, 공립, 사립 콤보박스 중 택1 / 학교명 - 'OO중학교'로 정식 학교명 전체 입력(OO중, OO여중 X) 
    - </t>
    </r>
    <r>
      <rPr>
        <b/>
        <sz val="11"/>
        <color rgb="FF0000FF"/>
        <rFont val="맑은 고딕"/>
        <family val="3"/>
        <charset val="129"/>
      </rPr>
      <t>분교</t>
    </r>
    <r>
      <rPr>
        <b/>
        <sz val="11"/>
        <color rgb="FF000000"/>
        <rFont val="맑은 고딕"/>
        <family val="3"/>
        <charset val="129"/>
      </rPr>
      <t xml:space="preserve">는 본교 바로 아래 독립된 번호로 작성  </t>
    </r>
    <r>
      <rPr>
        <sz val="11"/>
        <color rgb="FF000000"/>
        <rFont val="맑은 고딕"/>
        <family val="3"/>
        <charset val="129"/>
      </rPr>
      <t xml:space="preserve">예시) 37 A중학교,  38 A중학교B분교
 </t>
    </r>
    <r>
      <rPr>
        <b/>
        <sz val="11"/>
        <color rgb="FF000000"/>
        <rFont val="맑은 고딕"/>
        <family val="3"/>
        <charset val="129"/>
      </rPr>
      <t>3. 학급 수, 전체 학생 수, 전체 교원 수는 두 행(적용학년(1~2학년, 3학년))에 같은 내용(학교의 전체 학급 수, 전체학생 수, 전체교원 수)을 작성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 4</t>
    </r>
    <r>
      <rPr>
        <b/>
        <sz val="11"/>
        <color indexed="8"/>
        <rFont val="맑은 고딕"/>
        <family val="3"/>
        <charset val="129"/>
      </rPr>
      <t>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 xml:space="preserve">수업일수: </t>
    </r>
    <r>
      <rPr>
        <b/>
        <sz val="11"/>
        <color rgb="FFFF0000"/>
        <rFont val="맑은 고딕"/>
        <family val="3"/>
        <charset val="129"/>
        <scheme val="minor"/>
      </rPr>
      <t>190일 이상 확인</t>
    </r>
    <r>
      <rPr>
        <b/>
        <sz val="11"/>
        <color theme="1"/>
        <rFont val="맑은 고딕"/>
        <family val="3"/>
        <charset val="129"/>
        <scheme val="minor"/>
      </rPr>
      <t xml:space="preserve">(190일 미만 또는 200일 이상의 경우 비고란에 사유 제시) / </t>
    </r>
    <r>
      <rPr>
        <sz val="11"/>
        <color theme="1"/>
        <rFont val="맑은 고딕"/>
        <family val="3"/>
        <charset val="129"/>
        <scheme val="minor"/>
      </rPr>
      <t xml:space="preserve"> '1학기', '2학기'는 수업 일인 개학(입학)일, 종업(졸업)일 포함하여 </t>
    </r>
    <r>
      <rPr>
        <sz val="11"/>
        <rFont val="맑은 고딕"/>
        <family val="3"/>
        <charset val="129"/>
        <scheme val="minor"/>
      </rPr>
      <t xml:space="preserve">계산
 </t>
    </r>
    <r>
      <rPr>
        <b/>
        <sz val="11"/>
        <rFont val="맑은 고딕"/>
        <family val="3"/>
        <charset val="129"/>
        <scheme val="minor"/>
      </rPr>
      <t>5. 학사일정 : 1~2학년 종업식일과 3학년 졸업일로 구분하여 각각 작성</t>
    </r>
    <r>
      <rPr>
        <b/>
        <u/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 xml:space="preserve"> 6. 중간, 기말고사 기간 및 일수: 학기당 2회의 평가 일정을 설정하였으나 실시하지 않는 경우 공란으로 작성, 시작일과 종료일을 형식에 맞게 입력 합계 일수는 토,일요일 자동 반영 / 단, 공휴일 및 재량휴업일이 포함되는 경우 직접 수정 가능, 시작일과 종료일이 공란일 경우 합게는 '0'으로 자동 처리
 7. 재량휴업일 : </t>
    </r>
    <r>
      <rPr>
        <b/>
        <sz val="11"/>
        <color rgb="FF0000FF"/>
        <rFont val="맑은 고딕"/>
        <family val="3"/>
        <charset val="129"/>
        <scheme val="minor"/>
      </rPr>
      <t>수능일(11.19.) 및 개교기념일이 휴업일인 경우 재량휴업일에 반드시 포함하여 작성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u/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※ 제출방법 : 교육지원청 및 시도교육청은 초, 중, 고 학교급별로 시트를 나누어 취합(시도교육청별 1개 파일로 정리 후 최종 제출)</t>
    </r>
    <phoneticPr fontId="7" type="noConversion"/>
  </si>
  <si>
    <r>
      <rPr>
        <b/>
        <sz val="12"/>
        <color rgb="FF000000"/>
        <rFont val="맑은 고딕"/>
        <family val="3"/>
        <charset val="129"/>
      </rPr>
      <t xml:space="preserve">&lt; 자료 작성 유의사항 안내 &gt; - 셀 병합, 삭제 등 양식 및 </t>
    </r>
    <r>
      <rPr>
        <b/>
        <sz val="12"/>
        <color rgb="FFFF0000"/>
        <rFont val="맑은 고딕"/>
        <family val="3"/>
        <charset val="129"/>
      </rPr>
      <t>서식 변경 일체 금지</t>
    </r>
    <r>
      <rPr>
        <b/>
        <sz val="12"/>
        <color rgb="FF000000"/>
        <rFont val="맑은 고딕"/>
        <family val="3"/>
        <charset val="129"/>
      </rPr>
      <t xml:space="preserve">, </t>
    </r>
    <r>
      <rPr>
        <b/>
        <sz val="12"/>
        <color rgb="FF0000FF"/>
        <rFont val="맑은 고딕"/>
        <family val="3"/>
        <charset val="129"/>
      </rPr>
      <t>흰색 셀</t>
    </r>
    <r>
      <rPr>
        <b/>
        <sz val="12"/>
        <color rgb="FF000000"/>
        <rFont val="맑은 고딕"/>
        <family val="3"/>
        <charset val="129"/>
      </rPr>
      <t>에만 입력(학교 작성), 음영 처리된 곳(굵은 청서)은 직접 입력 금지(자동 함수 적용)</t>
    </r>
    <r>
      <rPr>
        <b/>
        <sz val="12"/>
        <color rgb="FFFF0000"/>
        <rFont val="맑은 고딕"/>
        <family val="3"/>
        <charset val="129"/>
      </rPr>
      <t xml:space="preserve">
</t>
    </r>
    <r>
      <rPr>
        <sz val="11"/>
        <color rgb="FF0000FF"/>
        <rFont val="맑은 고딕"/>
        <family val="3"/>
        <charset val="129"/>
      </rPr>
      <t xml:space="preserve">   ※ 용어정의: </t>
    </r>
    <r>
      <rPr>
        <b/>
        <sz val="11"/>
        <color rgb="FF0000FF"/>
        <rFont val="맑은 고딕"/>
        <family val="3"/>
        <charset val="129"/>
      </rPr>
      <t>(방학식일)</t>
    </r>
    <r>
      <rPr>
        <sz val="11"/>
        <color rgb="FF0000FF"/>
        <rFont val="맑은 고딕"/>
        <family val="3"/>
        <charset val="129"/>
      </rPr>
      <t xml:space="preserve"> 방학 전 </t>
    </r>
    <r>
      <rPr>
        <b/>
        <sz val="11"/>
        <color rgb="FF0000FF"/>
        <rFont val="맑은 고딕"/>
        <family val="3"/>
        <charset val="129"/>
      </rPr>
      <t>등교</t>
    </r>
    <r>
      <rPr>
        <sz val="11"/>
        <color rgb="FF0000FF"/>
        <rFont val="맑은 고딕"/>
        <family val="3"/>
        <charset val="129"/>
      </rPr>
      <t xml:space="preserve"> 마지막날(방학 첫날과 구분), </t>
    </r>
    <r>
      <rPr>
        <b/>
        <sz val="11"/>
        <color rgb="FF0000FF"/>
        <rFont val="맑은 고딕"/>
        <family val="3"/>
        <charset val="129"/>
      </rPr>
      <t>(개학식일)</t>
    </r>
    <r>
      <rPr>
        <sz val="11"/>
        <color rgb="FF0000FF"/>
        <rFont val="맑은 고딕"/>
        <family val="3"/>
        <charset val="129"/>
      </rPr>
      <t xml:space="preserve"> 방학 종료 후 </t>
    </r>
    <r>
      <rPr>
        <b/>
        <sz val="11"/>
        <color rgb="FF0000FF"/>
        <rFont val="맑은 고딕"/>
        <family val="3"/>
        <charset val="129"/>
      </rPr>
      <t>등교</t>
    </r>
    <r>
      <rPr>
        <sz val="11"/>
        <color rgb="FF0000FF"/>
        <rFont val="맑은 고딕"/>
        <family val="3"/>
        <charset val="129"/>
      </rPr>
      <t xml:space="preserve"> 첫날, </t>
    </r>
    <r>
      <rPr>
        <b/>
        <sz val="11"/>
        <color rgb="FF0000FF"/>
        <rFont val="맑은 고딕"/>
        <family val="3"/>
        <charset val="129"/>
      </rPr>
      <t>(종업식일)</t>
    </r>
    <r>
      <rPr>
        <sz val="11"/>
        <color rgb="FF0000FF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1-2학년</t>
    </r>
    <r>
      <rPr>
        <sz val="11"/>
        <color rgb="FF0000FF"/>
        <rFont val="맑은 고딕"/>
        <family val="3"/>
        <charset val="129"/>
      </rPr>
      <t xml:space="preserve"> </t>
    </r>
    <r>
      <rPr>
        <b/>
        <sz val="11"/>
        <color rgb="FF0000FF"/>
        <rFont val="맑은 고딕"/>
        <family val="3"/>
        <charset val="129"/>
      </rPr>
      <t>등교</t>
    </r>
    <r>
      <rPr>
        <sz val="11"/>
        <color rgb="FF0000FF"/>
        <rFont val="맑은 고딕"/>
        <family val="3"/>
        <charset val="129"/>
      </rPr>
      <t xml:space="preserve"> 마지막날, </t>
    </r>
    <r>
      <rPr>
        <b/>
        <sz val="11"/>
        <color rgb="FF0000FF"/>
        <rFont val="맑은 고딕"/>
        <family val="3"/>
        <charset val="129"/>
      </rPr>
      <t>(졸업일)</t>
    </r>
    <r>
      <rPr>
        <sz val="11"/>
        <color rgb="FF0000FF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3학년</t>
    </r>
    <r>
      <rPr>
        <sz val="11"/>
        <color rgb="FF0000FF"/>
        <rFont val="맑은 고딕"/>
        <family val="3"/>
        <charset val="129"/>
      </rPr>
      <t xml:space="preserve"> 등교 마지막날
     - 겨울방학식과 동시에 종업식을 하여 겨울방학과 봄방학 구분이 없는 경우, '겨울방학'의 '개학식일'을 공란으로 하고 '겨울방학'의 '방학식일'과 '종업식일'에 동일 날짜 각각 기입 예시) 방학식일(27-1-11), 개학식일(공란), 종업식일(27-1-11), 졸업일(날짜 입력)
     - 겨울방학 후 개학식과 동시에 종업식을 하는 경우, '겨울방학 개학식일'과 '종업식일'을 동일한 날짜로 기입
</t>
    </r>
    <r>
      <rPr>
        <sz val="11"/>
        <color rgb="FFFF0000"/>
        <rFont val="맑은 고딕"/>
        <family val="3"/>
        <charset val="129"/>
      </rPr>
      <t xml:space="preserve">
</t>
    </r>
    <r>
      <rPr>
        <b/>
        <sz val="11"/>
        <color rgb="FFFF0000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</rPr>
      <t>1. 자료작성 대상 기간: 2026.3.1.~2027.2.28., 날짜입력방법: 모든 날짜는 "연도(두자리)-월-일"로 입력 예시) 2026년 3월 3일: 26-3-3</t>
    </r>
    <r>
      <rPr>
        <b/>
        <u/>
        <sz val="11"/>
        <color indexed="8"/>
        <rFont val="맑은 고딕"/>
        <family val="3"/>
        <charset val="129"/>
      </rPr>
      <t xml:space="preserve">
</t>
    </r>
    <r>
      <rPr>
        <b/>
        <sz val="11"/>
        <color rgb="FF000000"/>
        <rFont val="맑은 고딕"/>
        <family val="3"/>
        <charset val="129"/>
      </rPr>
      <t xml:space="preserve"> 2. 학교개요 : 설립구분 - 국립, 공립, 사립 콤보박스 중 택1 / 학교유형 - 일반고, 자율고, 특목고, 특성화고 콤보박스 중 택 1  (자율고: 자사고+자공고 / 특목고: 외고+국제고+과학고+예고+체고+마이스터고 / 특성화고: 직업계열+대안계열)
                   학교명 - 'OO고등학교'로 정식 학교명 전체 입력(OO고, OO여고, OO남고 X),  </t>
    </r>
    <r>
      <rPr>
        <b/>
        <sz val="11"/>
        <color rgb="FFFF0000"/>
        <rFont val="맑은 고딕"/>
        <family val="3"/>
        <charset val="129"/>
      </rPr>
      <t>분교</t>
    </r>
    <r>
      <rPr>
        <b/>
        <sz val="11"/>
        <color rgb="FF000000"/>
        <rFont val="맑은 고딕"/>
        <family val="3"/>
        <charset val="129"/>
      </rPr>
      <t>는 본교 바로 아래 독립된 번호로 작성  예시) 37 A고등학교,  38 A고등학교B분교
 3. 학급 수, 전체 학생 수, 전체 교원 수는 두 행(적용학년(1~2학년, 3학년))에 같은 내용(학교의 전체 학급 수, 전체학생 수, 전체교원 수)을 작성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 4</t>
    </r>
    <r>
      <rPr>
        <b/>
        <sz val="11"/>
        <color indexed="8"/>
        <rFont val="맑은 고딕"/>
        <family val="3"/>
        <charset val="129"/>
      </rPr>
      <t>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 xml:space="preserve">수업일수: </t>
    </r>
    <r>
      <rPr>
        <b/>
        <sz val="11"/>
        <color rgb="FFFF0000"/>
        <rFont val="맑은 고딕"/>
        <family val="3"/>
        <charset val="129"/>
        <scheme val="minor"/>
      </rPr>
      <t>190일 이상 확인</t>
    </r>
    <r>
      <rPr>
        <b/>
        <sz val="11"/>
        <color theme="1"/>
        <rFont val="맑은 고딕"/>
        <family val="3"/>
        <charset val="129"/>
        <scheme val="minor"/>
      </rPr>
      <t xml:space="preserve">(190일 미만 또는 200일 이상의 경우 비고란에 사유 제시) / </t>
    </r>
    <r>
      <rPr>
        <sz val="11"/>
        <color theme="1"/>
        <rFont val="맑은 고딕"/>
        <family val="3"/>
        <charset val="129"/>
        <scheme val="minor"/>
      </rPr>
      <t xml:space="preserve"> '1학기', '2학기'는 수업 일인 개학(입학)일, 종업(졸업)일 포함하여 </t>
    </r>
    <r>
      <rPr>
        <sz val="11"/>
        <rFont val="맑은 고딕"/>
        <family val="3"/>
        <charset val="129"/>
        <scheme val="minor"/>
      </rPr>
      <t xml:space="preserve">계산
 </t>
    </r>
    <r>
      <rPr>
        <b/>
        <sz val="11"/>
        <rFont val="맑은 고딕"/>
        <family val="3"/>
        <charset val="129"/>
        <scheme val="minor"/>
      </rPr>
      <t xml:space="preserve">5. </t>
    </r>
    <r>
      <rPr>
        <b/>
        <sz val="11"/>
        <color rgb="FF0000FF"/>
        <rFont val="맑은 고딕"/>
        <family val="3"/>
        <charset val="129"/>
        <scheme val="minor"/>
      </rPr>
      <t>1~2학년과 3학년의 학사일정을 구분하여 입력,</t>
    </r>
    <r>
      <rPr>
        <b/>
        <sz val="11"/>
        <rFont val="맑은 고딕"/>
        <family val="3"/>
        <charset val="129"/>
        <scheme val="minor"/>
      </rPr>
      <t xml:space="preserve"> 1~3학년 동일하더라도 1~2학년 종업식일과 3학년 졸업일로 구분하여 작성
    - 휴교 또는 해당 학년에 학생이 없는 학교의 경우도 2개의 행(1~2, 3으로 콤보박스 선택입력)에 학교명까지 동일하게 입력하되, 학급수에 휴교 또는 해당없음으로 입력하고 학생 수는 0 입력 처리</t>
    </r>
    <r>
      <rPr>
        <b/>
        <u/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 xml:space="preserve"> 6. 중간, 기말고사 기간 및 일수: 학기당 2회의 평가 일정을 설정하였으나 실시하지 않는 경우 공란으로 작성, 시작일과 종료일을 형식에 맞게 입력 합계 일수는 토,일요일 자동 반영 / 단, 공휴일 및 재량휴업일이 포함되는 경우 직접 수정 가능, 시작일과 종료일이 공란일 경우 합게는 '0'으로 자동 처리
 7. </t>
    </r>
    <r>
      <rPr>
        <b/>
        <sz val="11"/>
        <color rgb="FF0000FF"/>
        <rFont val="맑은 고딕"/>
        <family val="3"/>
        <charset val="129"/>
        <scheme val="minor"/>
      </rPr>
      <t>재량휴업일 : 수능일(11.19.) 및 개교기념일이 휴업일인 경우 재량휴업일에 반드시 포함하여 작성</t>
    </r>
    <r>
      <rPr>
        <b/>
        <sz val="11"/>
        <rFont val="맑은 고딕"/>
        <family val="3"/>
        <charset val="129"/>
        <scheme val="minor"/>
      </rPr>
      <t xml:space="preserve"> 
</t>
    </r>
    <r>
      <rPr>
        <b/>
        <u/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※ 제출방법 : 교육지원청 및 시도교육청은 초, 중, 고 학교급별로 시트를 나누어 취합(시도교육청별 1개 파일로 정리 후 최종 제출)</t>
    </r>
    <phoneticPr fontId="7" type="noConversion"/>
  </si>
  <si>
    <t>9-1</t>
    <phoneticPr fontId="27" type="noConversion"/>
  </si>
  <si>
    <t>가남초등학교</t>
    <phoneticPr fontId="27" type="noConversion"/>
  </si>
  <si>
    <t>강천초등학교</t>
    <phoneticPr fontId="27" type="noConversion"/>
  </si>
  <si>
    <t>금당초등학교</t>
    <phoneticPr fontId="27" type="noConversion"/>
  </si>
  <si>
    <t>능북초등학교</t>
    <phoneticPr fontId="27" type="noConversion"/>
  </si>
  <si>
    <t>능서초등학교</t>
    <phoneticPr fontId="27" type="noConversion"/>
  </si>
  <si>
    <t>대신초등학교</t>
    <phoneticPr fontId="27" type="noConversion"/>
  </si>
  <si>
    <t>매류초등학교</t>
    <phoneticPr fontId="27" type="noConversion"/>
  </si>
  <si>
    <t>문장초등학교</t>
    <phoneticPr fontId="27" type="noConversion"/>
  </si>
  <si>
    <t>북내초등학교</t>
    <phoneticPr fontId="27" type="noConversion"/>
  </si>
  <si>
    <t>북내초등학교도전분교장</t>
    <phoneticPr fontId="27" type="noConversion"/>
  </si>
  <si>
    <t>상품초등학교</t>
    <phoneticPr fontId="27" type="noConversion"/>
  </si>
  <si>
    <t>세종초등학교</t>
    <phoneticPr fontId="27" type="noConversion"/>
  </si>
  <si>
    <t>송삼초등학교</t>
    <phoneticPr fontId="27" type="noConversion"/>
  </si>
  <si>
    <t>송촌초등학교</t>
    <phoneticPr fontId="27" type="noConversion"/>
  </si>
  <si>
    <t>여주초등학교</t>
    <phoneticPr fontId="27" type="noConversion"/>
  </si>
  <si>
    <t>여흥초등학교</t>
    <phoneticPr fontId="27" type="noConversion"/>
  </si>
  <si>
    <t>오산초등학교</t>
    <phoneticPr fontId="27" type="noConversion"/>
  </si>
  <si>
    <t>오학초등학교</t>
    <phoneticPr fontId="27" type="noConversion"/>
  </si>
  <si>
    <t>이포초등학교</t>
    <phoneticPr fontId="27" type="noConversion"/>
  </si>
  <si>
    <t>연라초등학교</t>
    <phoneticPr fontId="27" type="noConversion"/>
  </si>
  <si>
    <t>점동초등학교</t>
    <phoneticPr fontId="27" type="noConversion"/>
  </si>
  <si>
    <t>점봉초등학교</t>
    <phoneticPr fontId="27" type="noConversion"/>
  </si>
  <si>
    <t>천남초등학교</t>
    <phoneticPr fontId="27" type="noConversion"/>
  </si>
  <si>
    <t>흥천초등학교</t>
    <phoneticPr fontId="27" type="noConversion"/>
  </si>
  <si>
    <t>강천중학교</t>
  </si>
  <si>
    <t>대신중학교</t>
  </si>
  <si>
    <t>상품중학교</t>
  </si>
  <si>
    <t>세정중학교</t>
  </si>
  <si>
    <t>세종중학교</t>
  </si>
  <si>
    <t>여강중학교</t>
  </si>
  <si>
    <t>여흥중학교</t>
  </si>
  <si>
    <t>여주제일중학교</t>
  </si>
  <si>
    <t>여주중학교</t>
  </si>
  <si>
    <t>이포중학교</t>
  </si>
  <si>
    <t>점동중학교</t>
  </si>
  <si>
    <t>창명여자중학교</t>
  </si>
  <si>
    <t>흥천중학교</t>
  </si>
  <si>
    <t>경기관광고등학교</t>
  </si>
  <si>
    <t>대신고등학교</t>
  </si>
  <si>
    <t>세종고등학교</t>
  </si>
  <si>
    <t>여강고등학교</t>
  </si>
  <si>
    <t>여주고등학교</t>
  </si>
  <si>
    <t>여주자영농업고등학교</t>
  </si>
  <si>
    <t>여주제일고등학교</t>
  </si>
  <si>
    <t>이포고등학교</t>
  </si>
  <si>
    <t>점동고등학교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</si>
</sst>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_);[Red]\(0\)"/>
    <numFmt numFmtId="177" formatCode="0_ "/>
    <numFmt numFmtId="178" formatCode="yy&quot;-&quot;m&quot;-&quot;d;@"/>
  </numFmts>
  <fonts count="7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FF"/>
      <name val="굴림"/>
      <family val="3"/>
      <charset val="129"/>
    </font>
    <font>
      <sz val="11"/>
      <color rgb="FF000000"/>
      <name val="맑은 고딕"/>
      <family val="3"/>
      <charset val="129"/>
    </font>
    <font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indexed="8"/>
      <name val="맑은 고딕"/>
      <family val="3"/>
      <charset val="129"/>
    </font>
    <font>
      <b/>
      <u/>
      <sz val="11"/>
      <color indexed="8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theme="1"/>
      <name val="굴림"/>
      <family val="3"/>
      <charset val="129"/>
    </font>
    <font>
      <b/>
      <u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.5"/>
      <color rgb="FFFF000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6"/>
      <color rgb="FF000000"/>
      <name val="HY헤드라인M"/>
      <family val="1"/>
      <charset val="129"/>
    </font>
    <font>
      <sz val="16"/>
      <color rgb="FF0000FF"/>
      <name val="HY헤드라인M"/>
      <family val="1"/>
      <charset val="129"/>
    </font>
    <font>
      <sz val="16"/>
      <color rgb="FFFF0000"/>
      <name val="HY헤드라인M"/>
      <family val="1"/>
      <charset val="129"/>
    </font>
    <font>
      <sz val="11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굴림"/>
      <family val="3"/>
      <charset val="129"/>
    </font>
  </fonts>
  <fills count="7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</borders>
  <cellStyleXfs count="192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6" borderId="1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8" borderId="2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0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31" borderId="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26" borderId="9" applyNumberFormat="0" applyAlignment="0" applyProtection="0">
      <alignment vertical="center"/>
    </xf>
    <xf numFmtId="0" fontId="2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6" borderId="1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8" borderId="2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0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31" borderId="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26" borderId="9" applyNumberFormat="0" applyAlignment="0" applyProtection="0">
      <alignment vertical="center"/>
    </xf>
    <xf numFmtId="0" fontId="4" fillId="0" borderId="0">
      <alignment vertical="center"/>
    </xf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29" fillId="40" borderId="0">
      <alignment vertical="center"/>
    </xf>
    <xf numFmtId="0" fontId="29" fillId="41" borderId="0">
      <alignment vertical="center"/>
    </xf>
    <xf numFmtId="0" fontId="29" fillId="42" borderId="0">
      <alignment vertical="center"/>
    </xf>
    <xf numFmtId="0" fontId="29" fillId="43" borderId="0">
      <alignment vertical="center"/>
    </xf>
    <xf numFmtId="0" fontId="29" fillId="44" borderId="0">
      <alignment vertical="center"/>
    </xf>
    <xf numFmtId="0" fontId="29" fillId="45" borderId="0">
      <alignment vertical="center"/>
    </xf>
    <xf numFmtId="0" fontId="29" fillId="46" borderId="0">
      <alignment vertical="center"/>
    </xf>
    <xf numFmtId="0" fontId="29" fillId="47" borderId="0">
      <alignment vertical="center"/>
    </xf>
    <xf numFmtId="0" fontId="29" fillId="48" borderId="0">
      <alignment vertical="center"/>
    </xf>
    <xf numFmtId="0" fontId="29" fillId="49" borderId="0">
      <alignment vertical="center"/>
    </xf>
    <xf numFmtId="0" fontId="56" fillId="50" borderId="0">
      <alignment vertical="center"/>
    </xf>
    <xf numFmtId="0" fontId="56" fillId="51" borderId="0">
      <alignment vertical="center"/>
    </xf>
    <xf numFmtId="0" fontId="56" fillId="52" borderId="0">
      <alignment vertical="center"/>
    </xf>
    <xf numFmtId="0" fontId="56" fillId="53" borderId="0">
      <alignment vertical="center"/>
    </xf>
    <xf numFmtId="0" fontId="56" fillId="54" borderId="0">
      <alignment vertical="center"/>
    </xf>
    <xf numFmtId="0" fontId="56" fillId="55" borderId="0">
      <alignment vertical="center"/>
    </xf>
    <xf numFmtId="0" fontId="56" fillId="56" borderId="0">
      <alignment vertical="center"/>
    </xf>
    <xf numFmtId="0" fontId="56" fillId="57" borderId="0">
      <alignment vertical="center"/>
    </xf>
    <xf numFmtId="0" fontId="56" fillId="58" borderId="0">
      <alignment vertical="center"/>
    </xf>
    <xf numFmtId="0" fontId="56" fillId="59" borderId="0">
      <alignment vertical="center"/>
    </xf>
    <xf numFmtId="0" fontId="56" fillId="60" borderId="0">
      <alignment vertical="center"/>
    </xf>
    <xf numFmtId="0" fontId="56" fillId="61" borderId="0">
      <alignment vertical="center"/>
    </xf>
    <xf numFmtId="0" fontId="43" fillId="0" borderId="0">
      <alignment vertical="center"/>
    </xf>
    <xf numFmtId="0" fontId="57" fillId="62" borderId="1">
      <alignment vertical="center"/>
    </xf>
    <xf numFmtId="0" fontId="58" fillId="63" borderId="0">
      <alignment vertical="center"/>
    </xf>
    <xf numFmtId="0" fontId="29" fillId="64" borderId="2">
      <alignment vertical="center"/>
    </xf>
    <xf numFmtId="0" fontId="59" fillId="65" borderId="0">
      <alignment vertical="center"/>
    </xf>
    <xf numFmtId="0" fontId="60" fillId="0" borderId="0">
      <alignment vertical="center"/>
    </xf>
    <xf numFmtId="0" fontId="61" fillId="66" borderId="3">
      <alignment vertical="center"/>
    </xf>
    <xf numFmtId="0" fontId="62" fillId="0" borderId="4">
      <alignment vertical="center"/>
    </xf>
    <xf numFmtId="0" fontId="37" fillId="0" borderId="26">
      <alignment vertical="center"/>
    </xf>
    <xf numFmtId="0" fontId="63" fillId="67" borderId="1">
      <alignment vertical="center"/>
    </xf>
    <xf numFmtId="0" fontId="64" fillId="0" borderId="0">
      <alignment vertical="center"/>
    </xf>
    <xf numFmtId="0" fontId="65" fillId="0" borderId="27">
      <alignment vertical="center"/>
    </xf>
    <xf numFmtId="0" fontId="66" fillId="0" borderId="28">
      <alignment vertical="center"/>
    </xf>
    <xf numFmtId="0" fontId="67" fillId="0" borderId="29">
      <alignment vertical="center"/>
    </xf>
    <xf numFmtId="0" fontId="67" fillId="0" borderId="0">
      <alignment vertical="center"/>
    </xf>
    <xf numFmtId="0" fontId="68" fillId="68" borderId="0">
      <alignment vertical="center"/>
    </xf>
    <xf numFmtId="0" fontId="69" fillId="62" borderId="9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29" fillId="40" borderId="0">
      <alignment vertical="center"/>
    </xf>
    <xf numFmtId="0" fontId="29" fillId="41" borderId="0">
      <alignment vertical="center"/>
    </xf>
    <xf numFmtId="0" fontId="29" fillId="42" borderId="0">
      <alignment vertical="center"/>
    </xf>
    <xf numFmtId="0" fontId="29" fillId="43" borderId="0">
      <alignment vertical="center"/>
    </xf>
    <xf numFmtId="0" fontId="29" fillId="44" borderId="0">
      <alignment vertical="center"/>
    </xf>
    <xf numFmtId="0" fontId="29" fillId="45" borderId="0">
      <alignment vertical="center"/>
    </xf>
    <xf numFmtId="0" fontId="29" fillId="46" borderId="0">
      <alignment vertical="center"/>
    </xf>
    <xf numFmtId="0" fontId="29" fillId="47" borderId="0">
      <alignment vertical="center"/>
    </xf>
    <xf numFmtId="0" fontId="29" fillId="48" borderId="0">
      <alignment vertical="center"/>
    </xf>
    <xf numFmtId="0" fontId="29" fillId="49" borderId="0">
      <alignment vertical="center"/>
    </xf>
    <xf numFmtId="0" fontId="56" fillId="50" borderId="0">
      <alignment vertical="center"/>
    </xf>
    <xf numFmtId="0" fontId="56" fillId="51" borderId="0">
      <alignment vertical="center"/>
    </xf>
    <xf numFmtId="0" fontId="56" fillId="52" borderId="0">
      <alignment vertical="center"/>
    </xf>
    <xf numFmtId="0" fontId="56" fillId="53" borderId="0">
      <alignment vertical="center"/>
    </xf>
    <xf numFmtId="0" fontId="56" fillId="54" borderId="0">
      <alignment vertical="center"/>
    </xf>
    <xf numFmtId="0" fontId="56" fillId="55" borderId="0">
      <alignment vertical="center"/>
    </xf>
    <xf numFmtId="0" fontId="56" fillId="56" borderId="0">
      <alignment vertical="center"/>
    </xf>
    <xf numFmtId="0" fontId="56" fillId="57" borderId="0">
      <alignment vertical="center"/>
    </xf>
    <xf numFmtId="0" fontId="56" fillId="58" borderId="0">
      <alignment vertical="center"/>
    </xf>
    <xf numFmtId="0" fontId="56" fillId="59" borderId="0">
      <alignment vertical="center"/>
    </xf>
    <xf numFmtId="0" fontId="56" fillId="60" borderId="0">
      <alignment vertical="center"/>
    </xf>
    <xf numFmtId="0" fontId="56" fillId="61" borderId="0">
      <alignment vertical="center"/>
    </xf>
    <xf numFmtId="0" fontId="43" fillId="0" borderId="0">
      <alignment vertical="center"/>
    </xf>
    <xf numFmtId="0" fontId="57" fillId="62" borderId="1">
      <alignment vertical="center"/>
    </xf>
    <xf numFmtId="0" fontId="58" fillId="63" borderId="0">
      <alignment vertical="center"/>
    </xf>
    <xf numFmtId="0" fontId="29" fillId="64" borderId="2">
      <alignment vertical="center"/>
    </xf>
    <xf numFmtId="0" fontId="59" fillId="65" borderId="0">
      <alignment vertical="center"/>
    </xf>
    <xf numFmtId="0" fontId="60" fillId="0" borderId="0">
      <alignment vertical="center"/>
    </xf>
    <xf numFmtId="0" fontId="61" fillId="66" borderId="3">
      <alignment vertical="center"/>
    </xf>
    <xf numFmtId="0" fontId="62" fillId="0" borderId="4">
      <alignment vertical="center"/>
    </xf>
    <xf numFmtId="0" fontId="37" fillId="0" borderId="26">
      <alignment vertical="center"/>
    </xf>
    <xf numFmtId="0" fontId="63" fillId="67" borderId="1">
      <alignment vertical="center"/>
    </xf>
    <xf numFmtId="0" fontId="64" fillId="0" borderId="0">
      <alignment vertical="center"/>
    </xf>
    <xf numFmtId="0" fontId="65" fillId="0" borderId="27">
      <alignment vertical="center"/>
    </xf>
    <xf numFmtId="0" fontId="66" fillId="0" borderId="28">
      <alignment vertical="center"/>
    </xf>
    <xf numFmtId="0" fontId="67" fillId="0" borderId="29">
      <alignment vertical="center"/>
    </xf>
    <xf numFmtId="0" fontId="67" fillId="0" borderId="0">
      <alignment vertical="center"/>
    </xf>
    <xf numFmtId="0" fontId="68" fillId="68" borderId="0">
      <alignment vertical="center"/>
    </xf>
    <xf numFmtId="0" fontId="69" fillId="62" borderId="9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9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2" fontId="31" fillId="0" borderId="0" xfId="0" applyNumberFormat="1" applyFont="1" applyAlignment="1">
      <alignment vertical="center"/>
    </xf>
    <xf numFmtId="0" fontId="31" fillId="0" borderId="0" xfId="0" applyFont="1">
      <alignment vertical="center"/>
    </xf>
    <xf numFmtId="0" fontId="26" fillId="0" borderId="0" xfId="0" applyFont="1" applyAlignment="1">
      <alignment vertical="center" shrinkToFit="1"/>
    </xf>
    <xf numFmtId="177" fontId="30" fillId="33" borderId="10" xfId="53" applyNumberFormat="1" applyFont="1" applyFill="1" applyBorder="1" applyAlignment="1">
      <alignment horizontal="center" vertical="center" shrinkToFit="1"/>
    </xf>
    <xf numFmtId="177" fontId="32" fillId="34" borderId="10" xfId="53" applyNumberFormat="1" applyFont="1" applyFill="1" applyBorder="1" applyAlignment="1">
      <alignment horizontal="center" vertical="center" shrinkToFit="1"/>
    </xf>
    <xf numFmtId="0" fontId="30" fillId="33" borderId="10" xfId="53" applyFont="1" applyFill="1" applyBorder="1" applyAlignment="1">
      <alignment horizontal="center" vertical="center" shrinkToFit="1"/>
    </xf>
    <xf numFmtId="0" fontId="30" fillId="0" borderId="10" xfId="53" applyFont="1" applyFill="1" applyBorder="1" applyAlignment="1">
      <alignment horizontal="center" vertical="center" shrinkToFit="1"/>
    </xf>
    <xf numFmtId="178" fontId="26" fillId="0" borderId="0" xfId="0" applyNumberFormat="1" applyFont="1" applyAlignment="1">
      <alignment vertical="center"/>
    </xf>
    <xf numFmtId="0" fontId="31" fillId="0" borderId="0" xfId="0" applyFont="1" applyFill="1" applyAlignment="1">
      <alignment vertical="center"/>
    </xf>
    <xf numFmtId="0" fontId="26" fillId="34" borderId="10" xfId="0" applyFont="1" applyFill="1" applyBorder="1" applyAlignment="1">
      <alignment horizontal="center" vertical="center" wrapText="1"/>
    </xf>
    <xf numFmtId="0" fontId="32" fillId="33" borderId="10" xfId="53" applyFont="1" applyFill="1" applyBorder="1" applyAlignment="1">
      <alignment horizontal="center" vertical="center" shrinkToFit="1"/>
    </xf>
    <xf numFmtId="178" fontId="30" fillId="33" borderId="10" xfId="53" applyNumberFormat="1" applyFont="1" applyFill="1" applyBorder="1" applyAlignment="1">
      <alignment horizontal="center" vertical="center" shrinkToFit="1"/>
    </xf>
    <xf numFmtId="0" fontId="32" fillId="34" borderId="10" xfId="53" applyFont="1" applyFill="1" applyBorder="1" applyAlignment="1">
      <alignment horizontal="center" vertical="center" shrinkToFit="1"/>
    </xf>
    <xf numFmtId="178" fontId="30" fillId="0" borderId="10" xfId="53" applyNumberFormat="1" applyFont="1" applyBorder="1" applyAlignment="1">
      <alignment horizontal="center" vertical="center" shrinkToFit="1"/>
    </xf>
    <xf numFmtId="176" fontId="32" fillId="34" borderId="10" xfId="53" applyNumberFormat="1" applyFont="1" applyFill="1" applyBorder="1" applyAlignment="1">
      <alignment horizontal="center" vertical="center" shrinkToFit="1"/>
    </xf>
    <xf numFmtId="0" fontId="28" fillId="34" borderId="10" xfId="53" applyFont="1" applyFill="1" applyBorder="1" applyAlignment="1">
      <alignment horizontal="center" vertical="center" shrinkToFit="1"/>
    </xf>
    <xf numFmtId="176" fontId="32" fillId="34" borderId="10" xfId="0" applyNumberFormat="1" applyFont="1" applyFill="1" applyBorder="1" applyAlignment="1">
      <alignment horizontal="center" vertical="center" shrinkToFit="1"/>
    </xf>
    <xf numFmtId="177" fontId="30" fillId="0" borderId="10" xfId="53" applyNumberFormat="1" applyFont="1" applyFill="1" applyBorder="1" applyAlignment="1">
      <alignment horizontal="center" vertical="center" shrinkToFit="1"/>
    </xf>
    <xf numFmtId="0" fontId="26" fillId="34" borderId="10" xfId="0" applyFont="1" applyFill="1" applyBorder="1" applyAlignment="1">
      <alignment horizontal="center" vertical="center" wrapText="1"/>
    </xf>
    <xf numFmtId="177" fontId="30" fillId="33" borderId="13" xfId="53" applyNumberFormat="1" applyFont="1" applyFill="1" applyBorder="1" applyAlignment="1">
      <alignment horizontal="center" vertical="center" shrinkToFit="1"/>
    </xf>
    <xf numFmtId="177" fontId="32" fillId="34" borderId="13" xfId="53" applyNumberFormat="1" applyFont="1" applyFill="1" applyBorder="1" applyAlignment="1">
      <alignment horizontal="center" vertical="center" shrinkToFit="1"/>
    </xf>
    <xf numFmtId="0" fontId="30" fillId="33" borderId="13" xfId="53" applyFont="1" applyFill="1" applyBorder="1" applyAlignment="1">
      <alignment horizontal="center" vertical="center" shrinkToFit="1"/>
    </xf>
    <xf numFmtId="0" fontId="26" fillId="34" borderId="10" xfId="0" applyFont="1" applyFill="1" applyBorder="1" applyAlignment="1">
      <alignment horizontal="center" vertical="center" wrapText="1"/>
    </xf>
    <xf numFmtId="0" fontId="26" fillId="34" borderId="10" xfId="0" applyFont="1" applyFill="1" applyBorder="1" applyAlignment="1">
      <alignment horizontal="center" vertical="center"/>
    </xf>
    <xf numFmtId="14" fontId="31" fillId="0" borderId="0" xfId="0" applyNumberFormat="1" applyFont="1" applyFill="1" applyAlignment="1">
      <alignment vertical="center"/>
    </xf>
    <xf numFmtId="0" fontId="31" fillId="0" borderId="0" xfId="0" applyFont="1" applyFill="1" applyBorder="1" applyAlignment="1">
      <alignment vertical="center"/>
    </xf>
    <xf numFmtId="178" fontId="30" fillId="0" borderId="0" xfId="53" applyNumberFormat="1" applyFont="1" applyBorder="1" applyAlignment="1">
      <alignment horizontal="center" vertical="center" shrinkToFit="1"/>
    </xf>
    <xf numFmtId="0" fontId="32" fillId="34" borderId="10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26" fillId="34" borderId="10" xfId="0" applyFont="1" applyFill="1" applyBorder="1" applyAlignment="1">
      <alignment horizontal="center" vertical="center" wrapText="1"/>
    </xf>
    <xf numFmtId="0" fontId="26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177" fontId="32" fillId="34" borderId="10" xfId="53" applyNumberFormat="1" applyFont="1" applyFill="1" applyBorder="1" applyAlignment="1" applyProtection="1">
      <alignment horizontal="center" vertical="center" shrinkToFit="1"/>
      <protection locked="0"/>
    </xf>
    <xf numFmtId="178" fontId="30" fillId="33" borderId="10" xfId="53" applyNumberFormat="1" applyFont="1" applyFill="1" applyBorder="1" applyAlignment="1" applyProtection="1">
      <alignment horizontal="center" vertical="center" shrinkToFit="1"/>
      <protection locked="0"/>
    </xf>
    <xf numFmtId="0" fontId="26" fillId="33" borderId="10" xfId="53" applyFont="1" applyFill="1" applyBorder="1" applyAlignment="1" applyProtection="1">
      <alignment horizontal="center" vertical="center" shrinkToFit="1"/>
      <protection locked="0"/>
    </xf>
    <xf numFmtId="0" fontId="31" fillId="0" borderId="0" xfId="0" applyFont="1" applyFill="1" applyAlignment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78" fontId="30" fillId="0" borderId="0" xfId="53" applyNumberFormat="1" applyFont="1" applyFill="1" applyBorder="1" applyAlignment="1">
      <alignment horizontal="center" vertical="center" shrinkToFit="1"/>
    </xf>
    <xf numFmtId="178" fontId="30" fillId="35" borderId="22" xfId="53" applyNumberFormat="1" applyFont="1" applyFill="1" applyBorder="1" applyAlignment="1">
      <alignment horizontal="center" vertical="center" shrinkToFit="1"/>
    </xf>
    <xf numFmtId="178" fontId="30" fillId="37" borderId="22" xfId="53" applyNumberFormat="1" applyFont="1" applyFill="1" applyBorder="1" applyAlignment="1">
      <alignment horizontal="center" vertical="center" shrinkToFit="1"/>
    </xf>
    <xf numFmtId="0" fontId="32" fillId="34" borderId="10" xfId="53" applyNumberFormat="1" applyFont="1" applyFill="1" applyBorder="1" applyAlignment="1" applyProtection="1">
      <alignment horizontal="center" vertical="center" shrinkToFit="1"/>
      <protection locked="0"/>
    </xf>
    <xf numFmtId="49" fontId="32" fillId="34" borderId="10" xfId="53" applyNumberFormat="1" applyFont="1" applyFill="1" applyBorder="1" applyAlignment="1" applyProtection="1">
      <alignment horizontal="center" vertical="center" shrinkToFit="1"/>
      <protection locked="0"/>
    </xf>
    <xf numFmtId="177" fontId="32" fillId="34" borderId="13" xfId="53" applyNumberFormat="1" applyFont="1" applyFill="1" applyBorder="1" applyAlignment="1">
      <alignment horizontal="center" vertical="center" shrinkToFi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left" vertical="center" wrapText="1"/>
      <protection locked="0"/>
    </xf>
    <xf numFmtId="0" fontId="0" fillId="0" borderId="21" xfId="0" applyBorder="1" applyAlignment="1" applyProtection="1">
      <alignment horizontal="left" vertical="center" wrapText="1"/>
      <protection locked="0"/>
    </xf>
    <xf numFmtId="0" fontId="52" fillId="36" borderId="15" xfId="0" applyFont="1" applyFill="1" applyBorder="1" applyAlignment="1">
      <alignment horizontal="center" vertical="center"/>
    </xf>
    <xf numFmtId="0" fontId="52" fillId="36" borderId="16" xfId="0" applyFont="1" applyFill="1" applyBorder="1" applyAlignment="1">
      <alignment horizontal="center" vertical="center"/>
    </xf>
    <xf numFmtId="0" fontId="26" fillId="34" borderId="10" xfId="0" applyFont="1" applyFill="1" applyBorder="1" applyAlignment="1" applyProtection="1">
      <alignment horizontal="center" vertical="center" wrapText="1"/>
      <protection locked="0"/>
    </xf>
    <xf numFmtId="0" fontId="26" fillId="34" borderId="10" xfId="0" applyFont="1" applyFill="1" applyBorder="1" applyAlignment="1" applyProtection="1">
      <alignment horizontal="center" vertical="center"/>
      <protection locked="0"/>
    </xf>
    <xf numFmtId="177" fontId="32" fillId="34" borderId="13" xfId="53" applyNumberFormat="1" applyFont="1" applyFill="1" applyBorder="1" applyAlignment="1">
      <alignment horizontal="center" vertical="center" shrinkToFit="1"/>
    </xf>
    <xf numFmtId="177" fontId="32" fillId="34" borderId="14" xfId="53" applyNumberFormat="1" applyFont="1" applyFill="1" applyBorder="1" applyAlignment="1">
      <alignment horizontal="center" vertical="center" shrinkToFit="1"/>
    </xf>
    <xf numFmtId="0" fontId="52" fillId="36" borderId="17" xfId="0" applyFont="1" applyFill="1" applyBorder="1" applyAlignment="1">
      <alignment horizontal="center" vertical="center"/>
    </xf>
    <xf numFmtId="0" fontId="26" fillId="34" borderId="15" xfId="0" applyFont="1" applyFill="1" applyBorder="1" applyAlignment="1">
      <alignment horizontal="center" vertical="center"/>
    </xf>
    <xf numFmtId="0" fontId="26" fillId="34" borderId="16" xfId="0" applyFont="1" applyFill="1" applyBorder="1" applyAlignment="1">
      <alignment horizontal="center" vertical="center"/>
    </xf>
    <xf numFmtId="0" fontId="26" fillId="34" borderId="17" xfId="0" applyFont="1" applyFill="1" applyBorder="1" applyAlignment="1">
      <alignment horizontal="center" vertical="center"/>
    </xf>
    <xf numFmtId="0" fontId="26" fillId="34" borderId="19" xfId="0" applyFont="1" applyFill="1" applyBorder="1" applyAlignment="1">
      <alignment horizontal="center" vertical="center" wrapText="1"/>
    </xf>
    <xf numFmtId="0" fontId="26" fillId="34" borderId="20" xfId="0" applyFont="1" applyFill="1" applyBorder="1" applyAlignment="1">
      <alignment horizontal="center" vertical="center" wrapText="1"/>
    </xf>
    <xf numFmtId="0" fontId="26" fillId="34" borderId="10" xfId="0" applyFont="1" applyFill="1" applyBorder="1" applyAlignment="1">
      <alignment horizontal="center" vertical="center" wrapText="1"/>
    </xf>
    <xf numFmtId="0" fontId="26" fillId="34" borderId="10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4" xfId="0" applyFont="1" applyFill="1" applyBorder="1" applyAlignment="1">
      <alignment horizontal="center" vertical="center" wrapText="1"/>
    </xf>
    <xf numFmtId="0" fontId="30" fillId="34" borderId="10" xfId="0" applyFont="1" applyFill="1" applyBorder="1" applyAlignment="1">
      <alignment horizontal="center" vertical="center" wrapText="1"/>
    </xf>
    <xf numFmtId="0" fontId="30" fillId="34" borderId="10" xfId="0" applyFont="1" applyFill="1" applyBorder="1" applyAlignment="1">
      <alignment horizontal="center" vertical="center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30" fillId="34" borderId="13" xfId="0" applyFont="1" applyFill="1" applyBorder="1" applyAlignment="1">
      <alignment horizontal="center" vertical="center" wrapText="1"/>
    </xf>
    <xf numFmtId="0" fontId="30" fillId="34" borderId="14" xfId="0" applyFont="1" applyFill="1" applyBorder="1" applyAlignment="1">
      <alignment horizontal="center" vertical="center" wrapText="1"/>
    </xf>
    <xf numFmtId="0" fontId="32" fillId="34" borderId="10" xfId="0" applyFont="1" applyFill="1" applyBorder="1" applyAlignment="1">
      <alignment horizontal="center" vertical="center" wrapText="1"/>
    </xf>
    <xf numFmtId="0" fontId="30" fillId="34" borderId="15" xfId="0" applyFont="1" applyFill="1" applyBorder="1" applyAlignment="1">
      <alignment horizontal="center" vertical="center" wrapText="1"/>
    </xf>
    <xf numFmtId="0" fontId="30" fillId="34" borderId="16" xfId="0" applyFont="1" applyFill="1" applyBorder="1" applyAlignment="1">
      <alignment horizontal="center" vertical="center" wrapText="1"/>
    </xf>
    <xf numFmtId="0" fontId="30" fillId="34" borderId="17" xfId="0" applyFont="1" applyFill="1" applyBorder="1" applyAlignment="1">
      <alignment horizontal="center" vertical="center" wrapText="1"/>
    </xf>
    <xf numFmtId="0" fontId="32" fillId="34" borderId="13" xfId="0" applyFont="1" applyFill="1" applyBorder="1" applyAlignment="1">
      <alignment horizontal="center" vertical="center" wrapText="1"/>
    </xf>
    <xf numFmtId="0" fontId="32" fillId="34" borderId="14" xfId="0" applyFont="1" applyFill="1" applyBorder="1" applyAlignment="1">
      <alignment horizontal="center" vertical="center" wrapText="1"/>
    </xf>
    <xf numFmtId="0" fontId="32" fillId="34" borderId="10" xfId="0" applyFont="1" applyFill="1" applyBorder="1" applyAlignment="1">
      <alignment horizontal="center" vertical="center"/>
    </xf>
    <xf numFmtId="0" fontId="47" fillId="34" borderId="13" xfId="0" applyFont="1" applyFill="1" applyBorder="1" applyAlignment="1">
      <alignment horizontal="center" vertical="center" wrapText="1"/>
    </xf>
    <xf numFmtId="0" fontId="47" fillId="34" borderId="18" xfId="0" applyFont="1" applyFill="1" applyBorder="1" applyAlignment="1">
      <alignment horizontal="center" vertical="center" wrapText="1"/>
    </xf>
    <xf numFmtId="0" fontId="47" fillId="34" borderId="14" xfId="0" applyFont="1" applyFill="1" applyBorder="1" applyAlignment="1">
      <alignment horizontal="center" vertical="center" wrapText="1"/>
    </xf>
    <xf numFmtId="0" fontId="44" fillId="34" borderId="10" xfId="0" applyFont="1" applyFill="1" applyBorder="1" applyAlignment="1">
      <alignment horizontal="center" vertical="center" wrapText="1"/>
    </xf>
    <xf numFmtId="0" fontId="0" fillId="0" borderId="23" xfId="0" applyBorder="1" applyAlignment="1" applyProtection="1">
      <alignment horizontal="left" vertical="center" wrapText="1"/>
      <protection locked="0"/>
    </xf>
    <xf numFmtId="0" fontId="0" fillId="0" borderId="24" xfId="0" applyBorder="1" applyAlignment="1" applyProtection="1">
      <alignment horizontal="left" vertical="center" wrapText="1"/>
      <protection locked="0"/>
    </xf>
    <xf numFmtId="0" fontId="0" fillId="0" borderId="25" xfId="0" applyBorder="1" applyAlignment="1" applyProtection="1">
      <alignment horizontal="left" vertical="center" wrapText="1"/>
      <protection locked="0"/>
    </xf>
    <xf numFmtId="0" fontId="70" fillId="69" borderId="13" xfId="96" applyFont="1" applyFill="1" applyBorder="1" applyAlignment="1">
      <alignment horizontal="center" vertical="center" shrinkToFit="1"/>
    </xf>
    <xf numFmtId="0" fontId="70" fillId="0" borderId="10" xfId="49" applyFont="1" applyBorder="1" applyAlignment="1">
      <alignment horizontal="center" vertical="center"/>
    </xf>
    <xf numFmtId="0" fontId="70" fillId="69" borderId="10" xfId="96" applyFont="1" applyFill="1" applyBorder="1" applyAlignment="1">
      <alignment horizontal="center" vertical="center" shrinkToFit="1"/>
    </xf>
    <xf numFmtId="0" fontId="70" fillId="69" borderId="10" xfId="53" applyFont="1" applyFill="1" applyBorder="1" applyAlignment="1">
      <alignment horizontal="center" vertical="center" shrinkToFit="1"/>
    </xf>
    <xf numFmtId="0" fontId="26" fillId="69" borderId="10" xfId="53" applyFont="1" applyFill="1" applyBorder="1" applyAlignment="1">
      <alignment horizontal="center" vertical="center" shrinkToFit="1"/>
    </xf>
  </cellXfs>
  <cellStyles count="192">
    <cellStyle name="20% - 강조색1" xfId="1" builtinId="30" customBuiltin="1"/>
    <cellStyle name="20% - 강조색1 2" xfId="54" xr:uid="{00000000-0005-0000-0000-000001000000}"/>
    <cellStyle name="20% - 강조색1 2 2" xfId="144" xr:uid="{055111D8-588C-41DC-9E69-49E995033E2D}"/>
    <cellStyle name="20% - 강조색1 3" xfId="101" xr:uid="{6E283A31-4C90-4F40-B06E-DFAFA846596A}"/>
    <cellStyle name="20% - 강조색2" xfId="2" builtinId="34" customBuiltin="1"/>
    <cellStyle name="20% - 강조색2 2" xfId="55" xr:uid="{00000000-0005-0000-0000-000003000000}"/>
    <cellStyle name="20% - 강조색2 2 2" xfId="145" xr:uid="{88AF9471-8FF9-456F-B61F-920991CEFE6B}"/>
    <cellStyle name="20% - 강조색2 3" xfId="102" xr:uid="{6D383F68-9C8A-4A64-B75B-FAA7372CC669}"/>
    <cellStyle name="20% - 강조색3" xfId="3" builtinId="38" customBuiltin="1"/>
    <cellStyle name="20% - 강조색3 2" xfId="56" xr:uid="{00000000-0005-0000-0000-000005000000}"/>
    <cellStyle name="20% - 강조색3 2 2" xfId="146" xr:uid="{81015524-DA6F-4621-B691-1E639ED9D385}"/>
    <cellStyle name="20% - 강조색3 3" xfId="103" xr:uid="{2DB03537-A20F-4A8C-BB7A-8691B9E5157B}"/>
    <cellStyle name="20% - 강조색4" xfId="4" builtinId="42" customBuiltin="1"/>
    <cellStyle name="20% - 강조색4 2" xfId="57" xr:uid="{00000000-0005-0000-0000-000007000000}"/>
    <cellStyle name="20% - 강조색4 2 2" xfId="147" xr:uid="{79563F95-24EF-4702-A590-C06379B951D7}"/>
    <cellStyle name="20% - 강조색4 3" xfId="104" xr:uid="{C2CBCBA5-7938-455C-81D2-F019E1E724E1}"/>
    <cellStyle name="20% - 강조색5" xfId="5" builtinId="46" customBuiltin="1"/>
    <cellStyle name="20% - 강조색5 2" xfId="58" xr:uid="{00000000-0005-0000-0000-000009000000}"/>
    <cellStyle name="20% - 강조색5 2 2" xfId="148" xr:uid="{5556423C-DE1E-4FBE-9378-B7FFF44E93CE}"/>
    <cellStyle name="20% - 강조색5 3" xfId="105" xr:uid="{AA746FEF-3C72-4BE8-84BA-ACA8C2288F55}"/>
    <cellStyle name="20% - 강조색6" xfId="6" builtinId="50" customBuiltin="1"/>
    <cellStyle name="20% - 강조색6 2" xfId="59" xr:uid="{00000000-0005-0000-0000-00000B000000}"/>
    <cellStyle name="20% - 강조색6 2 2" xfId="149" xr:uid="{B22D5BF7-26B3-4BC9-A4C6-5CE0A0FC91CA}"/>
    <cellStyle name="20% - 강조색6 3" xfId="106" xr:uid="{89C81ED6-BD24-4035-8B01-4218AF3BC55E}"/>
    <cellStyle name="40% - 강조색1" xfId="7" builtinId="31" customBuiltin="1"/>
    <cellStyle name="40% - 강조색1 2" xfId="60" xr:uid="{00000000-0005-0000-0000-00000D000000}"/>
    <cellStyle name="40% - 강조색1 2 2" xfId="150" xr:uid="{182B2171-540B-48B0-BB7C-D7B587A285AC}"/>
    <cellStyle name="40% - 강조색1 3" xfId="107" xr:uid="{9AB7E73B-0F38-4B63-BC77-1ABC67B96D41}"/>
    <cellStyle name="40% - 강조색2" xfId="8" builtinId="35" customBuiltin="1"/>
    <cellStyle name="40% - 강조색2 2" xfId="61" xr:uid="{00000000-0005-0000-0000-00000F000000}"/>
    <cellStyle name="40% - 강조색2 2 2" xfId="151" xr:uid="{9907CD54-F687-4900-8F53-B95F0E3C13A3}"/>
    <cellStyle name="40% - 강조색2 3" xfId="108" xr:uid="{5EE43451-4283-4C51-ADC9-49799281008E}"/>
    <cellStyle name="40% - 강조색3" xfId="9" builtinId="39" customBuiltin="1"/>
    <cellStyle name="40% - 강조색3 2" xfId="62" xr:uid="{00000000-0005-0000-0000-000011000000}"/>
    <cellStyle name="40% - 강조색3 2 2" xfId="152" xr:uid="{F435FDAA-BEBE-4CB0-A547-C79834199CF5}"/>
    <cellStyle name="40% - 강조색3 3" xfId="109" xr:uid="{27C824B8-40EF-4680-A8FD-7812F6E4B09A}"/>
    <cellStyle name="40% - 강조색4" xfId="10" builtinId="43" customBuiltin="1"/>
    <cellStyle name="40% - 강조색4 2" xfId="63" xr:uid="{00000000-0005-0000-0000-000013000000}"/>
    <cellStyle name="40% - 강조색4 2 2" xfId="153" xr:uid="{9F5EA509-A27E-40E1-A4E9-6CCB9078FB75}"/>
    <cellStyle name="40% - 강조색4 3" xfId="110" xr:uid="{BA3837F0-18B9-488F-9D5A-D5A83AB92029}"/>
    <cellStyle name="40% - 강조색5" xfId="11" builtinId="47" customBuiltin="1"/>
    <cellStyle name="40% - 강조색5 2" xfId="64" xr:uid="{00000000-0005-0000-0000-000015000000}"/>
    <cellStyle name="40% - 강조색5 2 2" xfId="154" xr:uid="{6349C07D-FC37-4ADE-ACEB-90E681653FA7}"/>
    <cellStyle name="40% - 강조색5 3" xfId="111" xr:uid="{DBEDFE16-C752-444D-93C4-966EBEE52168}"/>
    <cellStyle name="40% - 강조색6" xfId="12" builtinId="51" customBuiltin="1"/>
    <cellStyle name="40% - 강조색6 2" xfId="65" xr:uid="{00000000-0005-0000-0000-000017000000}"/>
    <cellStyle name="40% - 강조색6 2 2" xfId="155" xr:uid="{D6C0FD73-460A-46A9-A528-C6E7746C59B3}"/>
    <cellStyle name="40% - 강조색6 3" xfId="112" xr:uid="{4746DB29-B398-4F11-A6E1-8279A2FE9943}"/>
    <cellStyle name="60% - 강조색1" xfId="13" builtinId="32" customBuiltin="1"/>
    <cellStyle name="60% - 강조색1 2" xfId="66" xr:uid="{00000000-0005-0000-0000-000019000000}"/>
    <cellStyle name="60% - 강조색1 2 2" xfId="156" xr:uid="{090F91C2-5B90-463D-A0BA-A0063522A480}"/>
    <cellStyle name="60% - 강조색1 3" xfId="113" xr:uid="{6F817B84-F140-4E0E-B64E-3AB918CC671D}"/>
    <cellStyle name="60% - 강조색2" xfId="14" builtinId="36" customBuiltin="1"/>
    <cellStyle name="60% - 강조색2 2" xfId="67" xr:uid="{00000000-0005-0000-0000-00001B000000}"/>
    <cellStyle name="60% - 강조색2 2 2" xfId="157" xr:uid="{7FF2E447-4AE6-4550-9C5B-287FE79F1DCF}"/>
    <cellStyle name="60% - 강조색2 3" xfId="114" xr:uid="{578C5FED-DBBF-44B9-B2BF-14A28770638B}"/>
    <cellStyle name="60% - 강조색3" xfId="15" builtinId="40" customBuiltin="1"/>
    <cellStyle name="60% - 강조색3 2" xfId="68" xr:uid="{00000000-0005-0000-0000-00001D000000}"/>
    <cellStyle name="60% - 강조색3 2 2" xfId="158" xr:uid="{CBE9309C-4D38-44CD-99D6-6C6C8AD6C292}"/>
    <cellStyle name="60% - 강조색3 3" xfId="115" xr:uid="{703605B5-04FA-44BE-93A9-F0E17DC5A7BB}"/>
    <cellStyle name="60% - 강조색4" xfId="16" builtinId="44" customBuiltin="1"/>
    <cellStyle name="60% - 강조색4 2" xfId="69" xr:uid="{00000000-0005-0000-0000-00001F000000}"/>
    <cellStyle name="60% - 강조색4 2 2" xfId="159" xr:uid="{3A00E6D5-E289-4878-B2DC-BA047980CFF8}"/>
    <cellStyle name="60% - 강조색4 3" xfId="116" xr:uid="{48D06A18-1A65-4977-94E7-3BE757152435}"/>
    <cellStyle name="60% - 강조색5" xfId="17" builtinId="48" customBuiltin="1"/>
    <cellStyle name="60% - 강조색5 2" xfId="70" xr:uid="{00000000-0005-0000-0000-000021000000}"/>
    <cellStyle name="60% - 강조색5 2 2" xfId="160" xr:uid="{952A31C1-A917-47A4-A2FA-9B681A08BE1E}"/>
    <cellStyle name="60% - 강조색5 3" xfId="117" xr:uid="{F21281BB-B6F8-4B25-8514-9E1A6E9DAD3F}"/>
    <cellStyle name="60% - 강조색6" xfId="18" builtinId="52" customBuiltin="1"/>
    <cellStyle name="60% - 강조색6 2" xfId="71" xr:uid="{00000000-0005-0000-0000-000023000000}"/>
    <cellStyle name="60% - 강조색6 2 2" xfId="161" xr:uid="{1D93B558-598C-4A08-9D4B-CBB529A53502}"/>
    <cellStyle name="60% - 강조색6 3" xfId="118" xr:uid="{CC3B6CB3-7D5A-4AC7-AFF9-246BE0B07C7E}"/>
    <cellStyle name="강조색1" xfId="19" builtinId="29" customBuiltin="1"/>
    <cellStyle name="강조색1 2" xfId="72" xr:uid="{00000000-0005-0000-0000-000025000000}"/>
    <cellStyle name="강조색1 2 2" xfId="162" xr:uid="{DA3EE955-9B6A-4A58-B8B3-89433EA1B5A1}"/>
    <cellStyle name="강조색1 3" xfId="119" xr:uid="{C3CE5C6E-D926-4765-B561-92EE34E27322}"/>
    <cellStyle name="강조색2" xfId="20" builtinId="33" customBuiltin="1"/>
    <cellStyle name="강조색2 2" xfId="73" xr:uid="{00000000-0005-0000-0000-000027000000}"/>
    <cellStyle name="강조색2 2 2" xfId="163" xr:uid="{F649513C-C25B-4E8D-8BFC-50D15FCC2799}"/>
    <cellStyle name="강조색2 3" xfId="120" xr:uid="{B53186C3-EC1C-42C6-A1E2-67F708DEF693}"/>
    <cellStyle name="강조색3" xfId="21" builtinId="37" customBuiltin="1"/>
    <cellStyle name="강조색3 2" xfId="74" xr:uid="{00000000-0005-0000-0000-000029000000}"/>
    <cellStyle name="강조색3 2 2" xfId="164" xr:uid="{9C37F577-FF90-4755-A8C0-677C49687E29}"/>
    <cellStyle name="강조색3 3" xfId="121" xr:uid="{6BCD74ED-03B9-444D-892D-8C7E5483E7F1}"/>
    <cellStyle name="강조색4" xfId="22" builtinId="41" customBuiltin="1"/>
    <cellStyle name="강조색4 2" xfId="75" xr:uid="{00000000-0005-0000-0000-00002B000000}"/>
    <cellStyle name="강조색4 2 2" xfId="165" xr:uid="{FBB1D744-E6FC-41C5-962F-0BB9EA9120C6}"/>
    <cellStyle name="강조색4 3" xfId="122" xr:uid="{F9625B78-D2C6-4EA7-ABCA-948DCF4420C2}"/>
    <cellStyle name="강조색5" xfId="23" builtinId="45" customBuiltin="1"/>
    <cellStyle name="강조색5 2" xfId="76" xr:uid="{00000000-0005-0000-0000-00002D000000}"/>
    <cellStyle name="강조색5 2 2" xfId="166" xr:uid="{6F81EE2D-204E-40F7-82D3-2AE8A473296D}"/>
    <cellStyle name="강조색5 3" xfId="123" xr:uid="{F326FA52-F569-4379-9042-AA0C65A57416}"/>
    <cellStyle name="강조색6" xfId="24" builtinId="49" customBuiltin="1"/>
    <cellStyle name="강조색6 2" xfId="77" xr:uid="{00000000-0005-0000-0000-00002F000000}"/>
    <cellStyle name="강조색6 2 2" xfId="167" xr:uid="{D8B6FD4B-1AC4-45B2-8B66-8FB3EF606825}"/>
    <cellStyle name="강조색6 3" xfId="124" xr:uid="{44762B85-6E27-487E-A34F-D5483EC526F7}"/>
    <cellStyle name="경고문" xfId="25" builtinId="11" customBuiltin="1"/>
    <cellStyle name="경고문 2" xfId="78" xr:uid="{00000000-0005-0000-0000-000031000000}"/>
    <cellStyle name="경고문 2 2" xfId="168" xr:uid="{35D0A7F3-6872-4F7E-A66C-802042D2D498}"/>
    <cellStyle name="경고문 3" xfId="125" xr:uid="{7D741C9F-5644-4AB9-8F0F-8174F89B6EC0}"/>
    <cellStyle name="계산" xfId="26" builtinId="22" customBuiltin="1"/>
    <cellStyle name="계산 2" xfId="79" xr:uid="{00000000-0005-0000-0000-000033000000}"/>
    <cellStyle name="계산 2 2" xfId="169" xr:uid="{BCB098B3-48D1-4605-912A-AC0C7A64196A}"/>
    <cellStyle name="계산 3" xfId="126" xr:uid="{E97E4C3D-3A86-4C8D-BC4E-88126D6B1C8D}"/>
    <cellStyle name="나쁨" xfId="27" builtinId="27" customBuiltin="1"/>
    <cellStyle name="나쁨 2" xfId="80" xr:uid="{00000000-0005-0000-0000-000035000000}"/>
    <cellStyle name="나쁨 2 2" xfId="170" xr:uid="{EFBF9ABE-AD49-4990-A2CC-E964FB105810}"/>
    <cellStyle name="나쁨 3" xfId="127" xr:uid="{87173F9C-4B58-4C30-A774-8F980D57C68E}"/>
    <cellStyle name="메모" xfId="28" builtinId="10" customBuiltin="1"/>
    <cellStyle name="메모 2" xfId="81" xr:uid="{00000000-0005-0000-0000-000037000000}"/>
    <cellStyle name="메모 2 2" xfId="171" xr:uid="{5081A463-AA76-40B8-A0B8-253FA521753D}"/>
    <cellStyle name="메모 3" xfId="128" xr:uid="{C9B8DAD1-D214-4584-8FBE-F795BBA23DF2}"/>
    <cellStyle name="보통" xfId="29" builtinId="28" customBuiltin="1"/>
    <cellStyle name="보통 2" xfId="82" xr:uid="{00000000-0005-0000-0000-000039000000}"/>
    <cellStyle name="보통 2 2" xfId="172" xr:uid="{C03A4245-3FBE-41A8-908F-BFD27AA1C706}"/>
    <cellStyle name="보통 3" xfId="129" xr:uid="{8BBAFE67-FF43-47D7-B4BB-B872CBB4BA4D}"/>
    <cellStyle name="설명 텍스트" xfId="30" builtinId="53" customBuiltin="1"/>
    <cellStyle name="설명 텍스트 2" xfId="83" xr:uid="{00000000-0005-0000-0000-00003B000000}"/>
    <cellStyle name="설명 텍스트 2 2" xfId="173" xr:uid="{B6D4754F-6211-4615-9846-09EDFADE343A}"/>
    <cellStyle name="설명 텍스트 3" xfId="130" xr:uid="{3FE1A2C7-6DB2-4056-8303-89C8870D4B95}"/>
    <cellStyle name="셀 확인" xfId="31" builtinId="23" customBuiltin="1"/>
    <cellStyle name="셀 확인 2" xfId="84" xr:uid="{00000000-0005-0000-0000-00003D000000}"/>
    <cellStyle name="셀 확인 2 2" xfId="174" xr:uid="{538A9DC3-F00F-4B8F-A050-F178375AD3DB}"/>
    <cellStyle name="셀 확인 3" xfId="131" xr:uid="{8DAFB518-7E93-4EC8-B79D-6424F3449BFE}"/>
    <cellStyle name="연결된 셀" xfId="32" builtinId="24" customBuiltin="1"/>
    <cellStyle name="연결된 셀 2" xfId="85" xr:uid="{00000000-0005-0000-0000-00003F000000}"/>
    <cellStyle name="연결된 셀 2 2" xfId="175" xr:uid="{BB41B900-9FE6-4B63-A5B8-58CE9455EA29}"/>
    <cellStyle name="연결된 셀 3" xfId="132" xr:uid="{A7E7AD1D-1717-4C24-A98E-B5213F4D9BF6}"/>
    <cellStyle name="요약" xfId="33" builtinId="25" customBuiltin="1"/>
    <cellStyle name="요약 2" xfId="86" xr:uid="{00000000-0005-0000-0000-000041000000}"/>
    <cellStyle name="요약 2 2" xfId="176" xr:uid="{CA7CECF5-BDC8-4755-83C6-D4ABC8DDA536}"/>
    <cellStyle name="요약 3" xfId="133" xr:uid="{40085F62-93F7-451B-9BE5-3654F74A5E4D}"/>
    <cellStyle name="입력" xfId="34" builtinId="20" customBuiltin="1"/>
    <cellStyle name="입력 2" xfId="87" xr:uid="{00000000-0005-0000-0000-000043000000}"/>
    <cellStyle name="입력 2 2" xfId="177" xr:uid="{14C40DD8-4421-4829-A618-285A9990DFC9}"/>
    <cellStyle name="입력 3" xfId="134" xr:uid="{69DAF4AA-50FA-4545-9231-4FE9C6ACF65D}"/>
    <cellStyle name="제목" xfId="35" builtinId="15" customBuiltin="1"/>
    <cellStyle name="제목 1" xfId="36" builtinId="16" customBuiltin="1"/>
    <cellStyle name="제목 1 2" xfId="89" xr:uid="{00000000-0005-0000-0000-000046000000}"/>
    <cellStyle name="제목 1 2 2" xfId="179" xr:uid="{4C0E0AC2-146A-45C2-9163-8C547964028F}"/>
    <cellStyle name="제목 1 3" xfId="136" xr:uid="{F7924C51-D491-45FE-B562-4F1C2A42AE9E}"/>
    <cellStyle name="제목 2" xfId="37" builtinId="17" customBuiltin="1"/>
    <cellStyle name="제목 2 2" xfId="90" xr:uid="{00000000-0005-0000-0000-000048000000}"/>
    <cellStyle name="제목 2 2 2" xfId="180" xr:uid="{AE58C376-9602-46FA-8388-8D90B7588BEC}"/>
    <cellStyle name="제목 2 3" xfId="137" xr:uid="{74E8D6AA-402E-459F-B25B-5E1803E5B3D8}"/>
    <cellStyle name="제목 3" xfId="38" builtinId="18" customBuiltin="1"/>
    <cellStyle name="제목 3 2" xfId="91" xr:uid="{00000000-0005-0000-0000-00004A000000}"/>
    <cellStyle name="제목 3 2 2" xfId="181" xr:uid="{638F5D39-B9EC-46B2-B883-64E8934E412F}"/>
    <cellStyle name="제목 3 3" xfId="138" xr:uid="{7079026C-91BA-4C4B-868A-78BD7F8EFE59}"/>
    <cellStyle name="제목 4" xfId="39" builtinId="19" customBuiltin="1"/>
    <cellStyle name="제목 4 2" xfId="92" xr:uid="{00000000-0005-0000-0000-00004C000000}"/>
    <cellStyle name="제목 4 2 2" xfId="182" xr:uid="{06523905-7AFF-40BE-9125-B22020A365F9}"/>
    <cellStyle name="제목 4 3" xfId="139" xr:uid="{93A93430-0CC6-4E5C-A193-81B81162B04F}"/>
    <cellStyle name="제목 5" xfId="88" xr:uid="{00000000-0005-0000-0000-00004D000000}"/>
    <cellStyle name="제목 5 2" xfId="178" xr:uid="{1D5F8248-108D-4E54-B4D2-B96AE79369C9}"/>
    <cellStyle name="제목 6" xfId="135" xr:uid="{57C27C67-40C8-4799-9CA7-5B32173DD4EC}"/>
    <cellStyle name="좋음" xfId="40" builtinId="26" customBuiltin="1"/>
    <cellStyle name="좋음 2" xfId="93" xr:uid="{00000000-0005-0000-0000-00004F000000}"/>
    <cellStyle name="좋음 2 2" xfId="183" xr:uid="{A7030C16-E468-446E-A60B-FEA7F8623331}"/>
    <cellStyle name="좋음 3" xfId="140" xr:uid="{FB8C8B1D-CAC4-46BE-ACFA-FB33DB83890D}"/>
    <cellStyle name="출력" xfId="41" builtinId="21" customBuiltin="1"/>
    <cellStyle name="출력 2" xfId="94" xr:uid="{00000000-0005-0000-0000-000051000000}"/>
    <cellStyle name="출력 2 2" xfId="184" xr:uid="{4EEBB24C-6C22-43EF-A9C0-6AB8F1C9D339}"/>
    <cellStyle name="출력 3" xfId="141" xr:uid="{A5307D41-B616-4C83-87B7-D7E829858247}"/>
    <cellStyle name="표준" xfId="0" builtinId="0"/>
    <cellStyle name="표준 2" xfId="42" xr:uid="{00000000-0005-0000-0000-000053000000}"/>
    <cellStyle name="표준 2 2" xfId="49" xr:uid="{00000000-0005-0000-0000-000054000000}"/>
    <cellStyle name="표준 2 3" xfId="46" xr:uid="{00000000-0005-0000-0000-000055000000}"/>
    <cellStyle name="표준 2 4" xfId="44" xr:uid="{00000000-0005-0000-0000-000056000000}"/>
    <cellStyle name="표준 3" xfId="43" xr:uid="{00000000-0005-0000-0000-000057000000}"/>
    <cellStyle name="표준 3 2" xfId="50" xr:uid="{00000000-0005-0000-0000-000058000000}"/>
    <cellStyle name="표준 3 3" xfId="47" xr:uid="{00000000-0005-0000-0000-000059000000}"/>
    <cellStyle name="표준 4" xfId="48" xr:uid="{00000000-0005-0000-0000-00005A000000}"/>
    <cellStyle name="표준 4 2" xfId="53" xr:uid="{00000000-0005-0000-0000-00005B000000}"/>
    <cellStyle name="표준 4 2 2" xfId="96" xr:uid="{0EC52ACD-3AEE-44C3-8D17-12E8F32A0E7E}"/>
    <cellStyle name="표준 4 2_(초등학교) 2026 학사일정(OO시도)" xfId="100" xr:uid="{716CF44F-8665-4CCD-B0BD-B5C82C43180D}"/>
    <cellStyle name="표준 5" xfId="51" xr:uid="{00000000-0005-0000-0000-00005C000000}"/>
    <cellStyle name="표준 5 2" xfId="97" xr:uid="{5B4167D2-DAF7-4819-AB88-4E70E681C7A9}"/>
    <cellStyle name="표준 5 3" xfId="142" xr:uid="{C3F16BD2-6157-43F0-857C-E414C55F63AA}"/>
    <cellStyle name="표준 5 4" xfId="186" xr:uid="{64AB11A8-8C85-4A68-9686-D9BC136886C0}"/>
    <cellStyle name="표준 5 5" xfId="189" xr:uid="{B4F7BAF5-A208-4BD9-8953-D8A7E747775C}"/>
    <cellStyle name="표준 6" xfId="45" xr:uid="{00000000-0005-0000-0000-00005D000000}"/>
    <cellStyle name="표준 7" xfId="52" xr:uid="{00000000-0005-0000-0000-00005E000000}"/>
    <cellStyle name="표준 7 2" xfId="98" xr:uid="{117A7F60-F43B-41ED-A7BE-4BC60C5E57F7}"/>
    <cellStyle name="표준 7 3" xfId="143" xr:uid="{21306E81-0E7E-416E-959B-E10C64C555FF}"/>
    <cellStyle name="표준 7 4" xfId="187" xr:uid="{96CB5121-1A24-432D-BA39-D2A42CAE5048}"/>
    <cellStyle name="표준 7 5" xfId="190" xr:uid="{EA9FF555-7CBA-4305-B625-03F5510FC5CA}"/>
    <cellStyle name="표준 8" xfId="95" xr:uid="{00000000-0005-0000-0000-00005F000000}"/>
    <cellStyle name="표준 8 2" xfId="99" xr:uid="{8FCB9D2C-87F2-49F8-8EC6-8C8BEDF69552}"/>
    <cellStyle name="표준 8 3" xfId="185" xr:uid="{15EB8C4F-81E1-4FFC-B231-A3586DD1BE58}"/>
    <cellStyle name="표준 8 4" xfId="188" xr:uid="{14AC3657-FB11-4189-8EB3-582B956DA9F8}"/>
    <cellStyle name="표준 8 5" xfId="191" xr:uid="{E5A83DB8-7C63-4E9D-B13C-B054D1AF1675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3BE92045-12A4-4F31-A3BA-4CAC61E8C20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286B707E-93FC-4695-B1F3-639A45FC78B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  <color rgb="FFCCECFF"/>
      <color rgb="FFFFCC99"/>
      <color rgb="FFCCFFCC"/>
      <color rgb="FFCCFFFF"/>
      <color rgb="FF99FFCC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abSelected="1" zoomScale="70" zoomScaleNormal="70" workbookViewId="0">
      <selection activeCell="G6" sqref="G6"/>
    </sheetView>
  </sheetViews>
  <sheetFormatPr defaultColWidth="9" defaultRowHeight="13.2" x14ac:dyDescent="0.4"/>
  <cols>
    <col min="1" max="1" width="4.8984375" style="40" customWidth="1"/>
    <col min="2" max="2" width="6.3984375" style="40" customWidth="1"/>
    <col min="3" max="3" width="7.59765625" style="40" customWidth="1"/>
    <col min="4" max="4" width="16.59765625" style="41" customWidth="1"/>
    <col min="5" max="16384" width="9" style="42"/>
  </cols>
  <sheetData>
    <row r="1" spans="1:4" ht="26.4" customHeight="1" x14ac:dyDescent="0.4">
      <c r="A1" s="61" t="s">
        <v>30</v>
      </c>
      <c r="B1" s="61"/>
      <c r="C1" s="61"/>
      <c r="D1" s="61"/>
    </row>
    <row r="2" spans="1:4" ht="26.25" customHeight="1" x14ac:dyDescent="0.4">
      <c r="A2" s="61"/>
      <c r="B2" s="60" t="s">
        <v>37</v>
      </c>
      <c r="C2" s="60" t="s">
        <v>38</v>
      </c>
      <c r="D2" s="60" t="s">
        <v>0</v>
      </c>
    </row>
    <row r="3" spans="1:4" ht="30.75" customHeight="1" x14ac:dyDescent="0.4">
      <c r="A3" s="61"/>
      <c r="B3" s="61"/>
      <c r="C3" s="60"/>
      <c r="D3" s="60"/>
    </row>
    <row r="4" spans="1:4" ht="27.75" customHeight="1" x14ac:dyDescent="0.4">
      <c r="A4" s="52">
        <v>1</v>
      </c>
      <c r="B4" s="43" t="s">
        <v>54</v>
      </c>
      <c r="C4" s="15" t="s">
        <v>59</v>
      </c>
      <c r="D4" s="45" t="s">
        <v>79</v>
      </c>
    </row>
    <row r="5" spans="1:4" ht="27.75" customHeight="1" x14ac:dyDescent="0.4">
      <c r="A5" s="43">
        <v>2</v>
      </c>
      <c r="B5" s="43" t="s">
        <v>54</v>
      </c>
      <c r="C5" s="15" t="s">
        <v>59</v>
      </c>
      <c r="D5" s="45" t="s">
        <v>80</v>
      </c>
    </row>
    <row r="6" spans="1:4" ht="27.75" customHeight="1" x14ac:dyDescent="0.4">
      <c r="A6" s="43">
        <v>3</v>
      </c>
      <c r="B6" s="43" t="s">
        <v>54</v>
      </c>
      <c r="C6" s="15" t="s">
        <v>59</v>
      </c>
      <c r="D6" s="45" t="s">
        <v>81</v>
      </c>
    </row>
    <row r="7" spans="1:4" ht="27.75" customHeight="1" x14ac:dyDescent="0.4">
      <c r="A7" s="43">
        <v>4</v>
      </c>
      <c r="B7" s="43" t="s">
        <v>54</v>
      </c>
      <c r="C7" s="15" t="s">
        <v>59</v>
      </c>
      <c r="D7" s="45" t="s">
        <v>82</v>
      </c>
    </row>
    <row r="8" spans="1:4" ht="27.75" customHeight="1" x14ac:dyDescent="0.4">
      <c r="A8" s="43">
        <v>5</v>
      </c>
      <c r="B8" s="43" t="s">
        <v>54</v>
      </c>
      <c r="C8" s="15" t="s">
        <v>59</v>
      </c>
      <c r="D8" s="45" t="s">
        <v>83</v>
      </c>
    </row>
    <row r="9" spans="1:4" ht="27.75" customHeight="1" x14ac:dyDescent="0.4">
      <c r="A9" s="43">
        <v>6</v>
      </c>
      <c r="B9" s="43" t="s">
        <v>54</v>
      </c>
      <c r="C9" s="15" t="s">
        <v>59</v>
      </c>
      <c r="D9" s="45" t="s">
        <v>84</v>
      </c>
    </row>
    <row r="10" spans="1:4" ht="27.75" customHeight="1" x14ac:dyDescent="0.4">
      <c r="A10" s="52">
        <v>7</v>
      </c>
      <c r="B10" s="43" t="s">
        <v>54</v>
      </c>
      <c r="C10" s="15" t="s">
        <v>59</v>
      </c>
      <c r="D10" s="45" t="s">
        <v>85</v>
      </c>
    </row>
    <row r="11" spans="1:4" ht="27.75" customHeight="1" x14ac:dyDescent="0.4">
      <c r="A11" s="43">
        <v>8</v>
      </c>
      <c r="B11" s="43" t="s">
        <v>54</v>
      </c>
      <c r="C11" s="15" t="s">
        <v>59</v>
      </c>
      <c r="D11" s="45" t="s">
        <v>86</v>
      </c>
    </row>
    <row r="12" spans="1:4" ht="27.75" customHeight="1" x14ac:dyDescent="0.4">
      <c r="A12" s="43">
        <v>9</v>
      </c>
      <c r="B12" s="43" t="s">
        <v>54</v>
      </c>
      <c r="C12" s="15" t="s">
        <v>59</v>
      </c>
      <c r="D12" s="45" t="s">
        <v>87</v>
      </c>
    </row>
    <row r="13" spans="1:4" ht="27.75" customHeight="1" x14ac:dyDescent="0.4">
      <c r="A13" s="53" t="s">
        <v>78</v>
      </c>
      <c r="B13" s="43" t="s">
        <v>54</v>
      </c>
      <c r="C13" s="15" t="s">
        <v>59</v>
      </c>
      <c r="D13" s="45" t="s">
        <v>88</v>
      </c>
    </row>
    <row r="14" spans="1:4" ht="27.75" customHeight="1" x14ac:dyDescent="0.4">
      <c r="A14" s="43">
        <v>10</v>
      </c>
      <c r="B14" s="43" t="s">
        <v>54</v>
      </c>
      <c r="C14" s="15" t="s">
        <v>59</v>
      </c>
      <c r="D14" s="45" t="s">
        <v>89</v>
      </c>
    </row>
    <row r="15" spans="1:4" ht="27.75" customHeight="1" x14ac:dyDescent="0.4">
      <c r="A15" s="52">
        <v>11</v>
      </c>
      <c r="B15" s="43" t="s">
        <v>54</v>
      </c>
      <c r="C15" s="15" t="s">
        <v>59</v>
      </c>
      <c r="D15" s="45" t="s">
        <v>90</v>
      </c>
    </row>
    <row r="16" spans="1:4" ht="27.75" customHeight="1" x14ac:dyDescent="0.4">
      <c r="A16" s="43">
        <v>11.5</v>
      </c>
      <c r="B16" s="43" t="s">
        <v>54</v>
      </c>
      <c r="C16" s="15" t="s">
        <v>59</v>
      </c>
      <c r="D16" s="45" t="s">
        <v>91</v>
      </c>
    </row>
    <row r="17" spans="1:4" ht="27.75" customHeight="1" x14ac:dyDescent="0.4">
      <c r="A17" s="43">
        <v>13</v>
      </c>
      <c r="B17" s="43" t="s">
        <v>54</v>
      </c>
      <c r="C17" s="15" t="s">
        <v>59</v>
      </c>
      <c r="D17" s="45" t="s">
        <v>92</v>
      </c>
    </row>
    <row r="18" spans="1:4" ht="27.75" customHeight="1" x14ac:dyDescent="0.4">
      <c r="A18" s="43">
        <v>14</v>
      </c>
      <c r="B18" s="43" t="s">
        <v>54</v>
      </c>
      <c r="C18" s="15" t="s">
        <v>59</v>
      </c>
      <c r="D18" s="45" t="s">
        <v>93</v>
      </c>
    </row>
    <row r="19" spans="1:4" ht="27.75" customHeight="1" x14ac:dyDescent="0.4">
      <c r="A19" s="43">
        <v>15</v>
      </c>
      <c r="B19" s="43" t="s">
        <v>54</v>
      </c>
      <c r="C19" s="15" t="s">
        <v>59</v>
      </c>
      <c r="D19" s="45" t="s">
        <v>94</v>
      </c>
    </row>
    <row r="20" spans="1:4" ht="27.75" customHeight="1" x14ac:dyDescent="0.4">
      <c r="A20" s="43">
        <v>16</v>
      </c>
      <c r="B20" s="43" t="s">
        <v>54</v>
      </c>
      <c r="C20" s="15" t="s">
        <v>59</v>
      </c>
      <c r="D20" s="45" t="s">
        <v>98</v>
      </c>
    </row>
    <row r="21" spans="1:4" ht="27.75" customHeight="1" x14ac:dyDescent="0.4">
      <c r="A21" s="43">
        <v>17</v>
      </c>
      <c r="B21" s="43" t="s">
        <v>54</v>
      </c>
      <c r="C21" s="15" t="s">
        <v>59</v>
      </c>
      <c r="D21" s="45" t="s">
        <v>95</v>
      </c>
    </row>
    <row r="22" spans="1:4" ht="27.75" customHeight="1" x14ac:dyDescent="0.4">
      <c r="A22" s="43">
        <v>18</v>
      </c>
      <c r="B22" s="43" t="s">
        <v>54</v>
      </c>
      <c r="C22" s="15" t="s">
        <v>59</v>
      </c>
      <c r="D22" s="45" t="s">
        <v>96</v>
      </c>
    </row>
    <row r="23" spans="1:4" ht="27.75" customHeight="1" x14ac:dyDescent="0.4">
      <c r="A23" s="43">
        <v>19</v>
      </c>
      <c r="B23" s="43" t="s">
        <v>54</v>
      </c>
      <c r="C23" s="15" t="s">
        <v>59</v>
      </c>
      <c r="D23" s="45" t="s">
        <v>97</v>
      </c>
    </row>
    <row r="24" spans="1:4" ht="27.75" customHeight="1" x14ac:dyDescent="0.4">
      <c r="A24" s="43">
        <v>20</v>
      </c>
      <c r="B24" s="43" t="s">
        <v>54</v>
      </c>
      <c r="C24" s="15" t="s">
        <v>59</v>
      </c>
      <c r="D24" s="45" t="s">
        <v>99</v>
      </c>
    </row>
    <row r="25" spans="1:4" ht="27.75" customHeight="1" x14ac:dyDescent="0.4">
      <c r="A25" s="43">
        <v>21</v>
      </c>
      <c r="B25" s="43" t="s">
        <v>54</v>
      </c>
      <c r="C25" s="15" t="s">
        <v>59</v>
      </c>
      <c r="D25" s="45" t="s">
        <v>100</v>
      </c>
    </row>
    <row r="26" spans="1:4" ht="27.75" customHeight="1" x14ac:dyDescent="0.4">
      <c r="A26" s="52">
        <v>22</v>
      </c>
      <c r="B26" s="43" t="s">
        <v>54</v>
      </c>
      <c r="C26" s="15" t="s">
        <v>59</v>
      </c>
      <c r="D26" s="45" t="s">
        <v>101</v>
      </c>
    </row>
    <row r="27" spans="1:4" ht="27.75" customHeight="1" x14ac:dyDescent="0.4">
      <c r="A27" s="43">
        <v>23</v>
      </c>
      <c r="B27" s="43" t="s">
        <v>54</v>
      </c>
      <c r="C27" s="15" t="s">
        <v>59</v>
      </c>
      <c r="D27" s="45" t="s">
        <v>102</v>
      </c>
    </row>
    <row r="28" spans="1:4" s="47" customFormat="1" ht="18.75" customHeight="1" x14ac:dyDescent="0.4">
      <c r="A28" s="43">
        <v>24</v>
      </c>
      <c r="B28" s="54" t="s">
        <v>18</v>
      </c>
      <c r="C28" s="94" t="s">
        <v>59</v>
      </c>
      <c r="D28" s="96" t="s">
        <v>103</v>
      </c>
    </row>
    <row r="29" spans="1:4" s="47" customFormat="1" ht="18.75" customHeight="1" x14ac:dyDescent="0.4">
      <c r="A29" s="43">
        <v>25</v>
      </c>
      <c r="B29" s="54" t="s">
        <v>18</v>
      </c>
      <c r="C29" s="94" t="s">
        <v>60</v>
      </c>
      <c r="D29" s="96" t="s">
        <v>104</v>
      </c>
    </row>
    <row r="30" spans="1:4" x14ac:dyDescent="0.4">
      <c r="A30" s="52">
        <v>26</v>
      </c>
      <c r="B30" s="54" t="s">
        <v>18</v>
      </c>
      <c r="C30" s="94" t="s">
        <v>59</v>
      </c>
      <c r="D30" s="96" t="s">
        <v>105</v>
      </c>
    </row>
    <row r="31" spans="1:4" ht="16.5" customHeight="1" x14ac:dyDescent="0.4">
      <c r="A31" s="43">
        <v>27</v>
      </c>
      <c r="B31" s="54" t="s">
        <v>18</v>
      </c>
      <c r="C31" s="94" t="s">
        <v>60</v>
      </c>
      <c r="D31" s="96" t="s">
        <v>106</v>
      </c>
    </row>
    <row r="32" spans="1:4" ht="11.25" customHeight="1" x14ac:dyDescent="0.4">
      <c r="A32" s="43">
        <v>28</v>
      </c>
      <c r="B32" s="54" t="s">
        <v>18</v>
      </c>
      <c r="C32" s="31" t="s">
        <v>59</v>
      </c>
      <c r="D32" s="15" t="s">
        <v>107</v>
      </c>
    </row>
    <row r="33" spans="1:4" s="41" customFormat="1" x14ac:dyDescent="0.4">
      <c r="A33" s="43">
        <v>29</v>
      </c>
      <c r="B33" s="54" t="s">
        <v>18</v>
      </c>
      <c r="C33" s="94" t="s">
        <v>60</v>
      </c>
      <c r="D33" s="96" t="s">
        <v>108</v>
      </c>
    </row>
    <row r="34" spans="1:4" s="41" customFormat="1" x14ac:dyDescent="0.4">
      <c r="A34" s="52">
        <v>30</v>
      </c>
      <c r="B34" s="54" t="s">
        <v>18</v>
      </c>
      <c r="C34" s="95" t="s">
        <v>59</v>
      </c>
      <c r="D34" s="95" t="s">
        <v>109</v>
      </c>
    </row>
    <row r="35" spans="1:4" x14ac:dyDescent="0.4">
      <c r="A35" s="43">
        <v>31</v>
      </c>
      <c r="B35" s="54" t="s">
        <v>18</v>
      </c>
      <c r="C35" s="94" t="s">
        <v>60</v>
      </c>
      <c r="D35" s="96" t="s">
        <v>110</v>
      </c>
    </row>
    <row r="36" spans="1:4" x14ac:dyDescent="0.4">
      <c r="A36" s="43">
        <v>32</v>
      </c>
      <c r="B36" s="54" t="s">
        <v>18</v>
      </c>
      <c r="C36" s="94" t="s">
        <v>59</v>
      </c>
      <c r="D36" s="96" t="s">
        <v>111</v>
      </c>
    </row>
    <row r="37" spans="1:4" x14ac:dyDescent="0.4">
      <c r="A37" s="43">
        <v>33</v>
      </c>
      <c r="B37" s="54" t="s">
        <v>18</v>
      </c>
      <c r="C37" s="94" t="s">
        <v>59</v>
      </c>
      <c r="D37" s="96" t="s">
        <v>112</v>
      </c>
    </row>
    <row r="38" spans="1:4" x14ac:dyDescent="0.4">
      <c r="A38" s="52">
        <v>34</v>
      </c>
      <c r="B38" s="54" t="s">
        <v>18</v>
      </c>
      <c r="C38" s="94" t="s">
        <v>59</v>
      </c>
      <c r="D38" s="96" t="s">
        <v>113</v>
      </c>
    </row>
    <row r="39" spans="1:4" x14ac:dyDescent="0.4">
      <c r="A39" s="43">
        <v>35</v>
      </c>
      <c r="B39" s="54" t="s">
        <v>18</v>
      </c>
      <c r="C39" s="31" t="s">
        <v>60</v>
      </c>
      <c r="D39" s="15" t="s">
        <v>114</v>
      </c>
    </row>
    <row r="40" spans="1:4" x14ac:dyDescent="0.4">
      <c r="A40" s="43">
        <v>36</v>
      </c>
      <c r="B40" s="54" t="s">
        <v>18</v>
      </c>
      <c r="C40" s="94" t="s">
        <v>59</v>
      </c>
      <c r="D40" s="96" t="s">
        <v>115</v>
      </c>
    </row>
    <row r="41" spans="1:4" x14ac:dyDescent="0.4">
      <c r="A41" s="43">
        <v>37</v>
      </c>
      <c r="B41" s="14" t="s">
        <v>25</v>
      </c>
      <c r="C41" s="96" t="s">
        <v>60</v>
      </c>
      <c r="D41" s="96" t="s">
        <v>116</v>
      </c>
    </row>
    <row r="42" spans="1:4" x14ac:dyDescent="0.4">
      <c r="A42" s="52">
        <v>38</v>
      </c>
      <c r="B42" s="14" t="s">
        <v>25</v>
      </c>
      <c r="C42" s="96" t="s">
        <v>60</v>
      </c>
      <c r="D42" s="96" t="s">
        <v>117</v>
      </c>
    </row>
    <row r="43" spans="1:4" x14ac:dyDescent="0.4">
      <c r="A43" s="43">
        <v>39</v>
      </c>
      <c r="B43" s="14" t="s">
        <v>25</v>
      </c>
      <c r="C43" s="96" t="s">
        <v>59</v>
      </c>
      <c r="D43" s="96" t="s">
        <v>118</v>
      </c>
    </row>
    <row r="44" spans="1:4" x14ac:dyDescent="0.4">
      <c r="A44" s="43">
        <v>40</v>
      </c>
      <c r="B44" s="14" t="s">
        <v>25</v>
      </c>
      <c r="C44" s="96" t="s">
        <v>60</v>
      </c>
      <c r="D44" s="96" t="s">
        <v>119</v>
      </c>
    </row>
    <row r="45" spans="1:4" x14ac:dyDescent="0.4">
      <c r="A45" s="43">
        <v>41</v>
      </c>
      <c r="B45" s="14" t="s">
        <v>25</v>
      </c>
      <c r="C45" s="97" t="s">
        <v>60</v>
      </c>
      <c r="D45" s="98" t="s">
        <v>120</v>
      </c>
    </row>
    <row r="46" spans="1:4" x14ac:dyDescent="0.4">
      <c r="A46" s="52">
        <v>42</v>
      </c>
      <c r="B46" s="14" t="s">
        <v>25</v>
      </c>
      <c r="C46" s="96" t="s">
        <v>59</v>
      </c>
      <c r="D46" s="96" t="s">
        <v>121</v>
      </c>
    </row>
    <row r="47" spans="1:4" x14ac:dyDescent="0.4">
      <c r="A47" s="43">
        <v>43</v>
      </c>
      <c r="B47" s="14" t="s">
        <v>25</v>
      </c>
      <c r="C47" s="96" t="s">
        <v>60</v>
      </c>
      <c r="D47" s="96" t="s">
        <v>122</v>
      </c>
    </row>
    <row r="48" spans="1:4" x14ac:dyDescent="0.4">
      <c r="A48" s="43">
        <v>44</v>
      </c>
      <c r="B48" s="14" t="s">
        <v>25</v>
      </c>
      <c r="C48" s="96" t="s">
        <v>59</v>
      </c>
      <c r="D48" s="96" t="s">
        <v>123</v>
      </c>
    </row>
    <row r="49" spans="1:4" x14ac:dyDescent="0.4">
      <c r="A49" s="43">
        <v>45</v>
      </c>
      <c r="B49" s="14" t="s">
        <v>25</v>
      </c>
      <c r="C49" s="96" t="s">
        <v>59</v>
      </c>
      <c r="D49" s="96" t="s">
        <v>124</v>
      </c>
    </row>
  </sheetData>
  <mergeCells count="5">
    <mergeCell ref="B2:B3"/>
    <mergeCell ref="C2:C3"/>
    <mergeCell ref="D2:D3"/>
    <mergeCell ref="A1:A3"/>
    <mergeCell ref="B1:D1"/>
  </mergeCells>
  <phoneticPr fontId="27" type="noConversion"/>
  <dataValidations count="1">
    <dataValidation type="list" allowBlank="1" showInputMessage="1" showErrorMessage="1" sqref="C4:C49" xr:uid="{AA7372CF-0487-4DE8-8083-BF0425FDD861}">
      <formula1>"국립,공립,사립"</formula1>
    </dataValidation>
  </dataValidations>
  <pageMargins left="0.15748031496062992" right="0.19685039370078741" top="0.74803149606299213" bottom="0.74803149606299213" header="0.31496062992125984" footer="0.31496062992125984"/>
  <pageSetup paperSize="8" scale="51" orientation="landscape" cellComments="asDisplayed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D17"/>
  <sheetViews>
    <sheetView topLeftCell="A3" workbookViewId="0">
      <selection activeCell="A13" sqref="A13:Y13"/>
    </sheetView>
  </sheetViews>
  <sheetFormatPr defaultColWidth="9" defaultRowHeight="13.2" x14ac:dyDescent="0.4"/>
  <cols>
    <col min="1" max="1" width="5.59765625" style="1" customWidth="1"/>
    <col min="2" max="2" width="7.8984375" style="1" customWidth="1"/>
    <col min="3" max="3" width="8" style="1" customWidth="1"/>
    <col min="4" max="4" width="6.69921875" style="1" customWidth="1"/>
    <col min="5" max="5" width="8" style="1" customWidth="1"/>
    <col min="6" max="6" width="7.59765625" style="1" customWidth="1"/>
    <col min="7" max="7" width="14.09765625" style="5" customWidth="1"/>
    <col min="8" max="11" width="8.59765625" style="1" customWidth="1"/>
    <col min="12" max="12" width="8.59765625" style="5" customWidth="1"/>
    <col min="13" max="13" width="9.09765625" style="5" customWidth="1"/>
    <col min="14" max="21" width="8.59765625" style="5" customWidth="1"/>
    <col min="22" max="22" width="10.09765625" style="6" customWidth="1"/>
    <col min="23" max="23" width="8.59765625" style="5" customWidth="1"/>
    <col min="24" max="24" width="8.59765625" style="6" customWidth="1"/>
    <col min="25" max="40" width="8.59765625" style="5" customWidth="1"/>
    <col min="41" max="41" width="8.59765625" style="6" customWidth="1"/>
    <col min="42" max="55" width="8.59765625" style="7" customWidth="1"/>
    <col min="56" max="56" width="7.09765625" style="7" customWidth="1"/>
    <col min="57" max="16384" width="9" style="7"/>
  </cols>
  <sheetData>
    <row r="1" spans="1:56" ht="22.5" customHeight="1" x14ac:dyDescent="0.4">
      <c r="M1" s="2"/>
    </row>
    <row r="2" spans="1:56" ht="30.6" customHeight="1" x14ac:dyDescent="0.4">
      <c r="E2" s="58" t="s">
        <v>73</v>
      </c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4"/>
      <c r="T2" s="7"/>
      <c r="U2" s="6"/>
      <c r="V2" s="7"/>
      <c r="W2" s="6" t="s">
        <v>55</v>
      </c>
      <c r="X2" s="7"/>
      <c r="AM2" s="6"/>
      <c r="AN2" s="6"/>
      <c r="AO2" s="7"/>
      <c r="BD2" s="49"/>
    </row>
    <row r="3" spans="1:56" ht="20.25" customHeight="1" x14ac:dyDescent="0.4">
      <c r="M3" s="2"/>
    </row>
    <row r="4" spans="1:56" ht="26.4" customHeight="1" x14ac:dyDescent="0.4">
      <c r="A4" s="71" t="s">
        <v>30</v>
      </c>
      <c r="B4" s="71" t="s">
        <v>7</v>
      </c>
      <c r="C4" s="71"/>
      <c r="D4" s="71"/>
      <c r="E4" s="71"/>
      <c r="F4" s="71"/>
      <c r="G4" s="71"/>
      <c r="H4" s="65" t="s">
        <v>58</v>
      </c>
      <c r="I4" s="66"/>
      <c r="J4" s="66"/>
      <c r="K4" s="66"/>
      <c r="L4" s="67"/>
      <c r="M4" s="87" t="s">
        <v>36</v>
      </c>
      <c r="N4" s="70" t="s">
        <v>3</v>
      </c>
      <c r="O4" s="70"/>
      <c r="P4" s="70"/>
      <c r="Q4" s="76" t="s">
        <v>53</v>
      </c>
      <c r="R4" s="77"/>
      <c r="S4" s="77"/>
      <c r="T4" s="77"/>
      <c r="U4" s="77"/>
      <c r="V4" s="77"/>
      <c r="W4" s="77"/>
      <c r="X4" s="70" t="s">
        <v>15</v>
      </c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 t="s">
        <v>9</v>
      </c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 t="s">
        <v>4</v>
      </c>
      <c r="BD4" s="42"/>
    </row>
    <row r="5" spans="1:56" ht="26.25" customHeight="1" x14ac:dyDescent="0.4">
      <c r="A5" s="71"/>
      <c r="B5" s="70" t="s">
        <v>74</v>
      </c>
      <c r="C5" s="71" t="s">
        <v>6</v>
      </c>
      <c r="D5" s="80" t="s">
        <v>37</v>
      </c>
      <c r="E5" s="70" t="s">
        <v>38</v>
      </c>
      <c r="F5" s="70" t="s">
        <v>39</v>
      </c>
      <c r="G5" s="70" t="s">
        <v>0</v>
      </c>
      <c r="H5" s="68" t="s">
        <v>31</v>
      </c>
      <c r="I5" s="69"/>
      <c r="J5" s="84" t="s">
        <v>35</v>
      </c>
      <c r="K5" s="70" t="s">
        <v>51</v>
      </c>
      <c r="L5" s="70" t="s">
        <v>52</v>
      </c>
      <c r="M5" s="88"/>
      <c r="N5" s="72" t="s">
        <v>1</v>
      </c>
      <c r="O5" s="72" t="s">
        <v>2</v>
      </c>
      <c r="P5" s="78" t="s">
        <v>34</v>
      </c>
      <c r="Q5" s="74" t="s">
        <v>21</v>
      </c>
      <c r="R5" s="70" t="s">
        <v>23</v>
      </c>
      <c r="S5" s="70"/>
      <c r="T5" s="70" t="s">
        <v>24</v>
      </c>
      <c r="U5" s="70"/>
      <c r="V5" s="72" t="s">
        <v>56</v>
      </c>
      <c r="W5" s="74" t="s">
        <v>75</v>
      </c>
      <c r="X5" s="70" t="s">
        <v>47</v>
      </c>
      <c r="Y5" s="70"/>
      <c r="Z5" s="70"/>
      <c r="AA5" s="70" t="s">
        <v>48</v>
      </c>
      <c r="AB5" s="70"/>
      <c r="AC5" s="70"/>
      <c r="AD5" s="70" t="s">
        <v>49</v>
      </c>
      <c r="AE5" s="70"/>
      <c r="AF5" s="70"/>
      <c r="AG5" s="70" t="s">
        <v>50</v>
      </c>
      <c r="AH5" s="70"/>
      <c r="AI5" s="70"/>
      <c r="AJ5" s="81" t="s">
        <v>45</v>
      </c>
      <c r="AK5" s="82"/>
      <c r="AL5" s="82"/>
      <c r="AM5" s="82"/>
      <c r="AN5" s="82"/>
      <c r="AO5" s="82"/>
      <c r="AP5" s="82"/>
      <c r="AQ5" s="83"/>
      <c r="AR5" s="81" t="s">
        <v>46</v>
      </c>
      <c r="AS5" s="82"/>
      <c r="AT5" s="82"/>
      <c r="AU5" s="82"/>
      <c r="AV5" s="82"/>
      <c r="AW5" s="82"/>
      <c r="AX5" s="82"/>
      <c r="AY5" s="83"/>
      <c r="AZ5" s="80" t="s">
        <v>43</v>
      </c>
      <c r="BA5" s="80" t="s">
        <v>44</v>
      </c>
      <c r="BB5" s="80" t="s">
        <v>40</v>
      </c>
      <c r="BC5" s="70"/>
      <c r="BD5" s="42"/>
    </row>
    <row r="6" spans="1:56" ht="26.25" customHeight="1" x14ac:dyDescent="0.4">
      <c r="A6" s="71"/>
      <c r="B6" s="71"/>
      <c r="C6" s="71"/>
      <c r="D6" s="86"/>
      <c r="E6" s="70"/>
      <c r="F6" s="70"/>
      <c r="G6" s="70"/>
      <c r="H6" s="33" t="s">
        <v>32</v>
      </c>
      <c r="I6" s="33" t="s">
        <v>33</v>
      </c>
      <c r="J6" s="85"/>
      <c r="K6" s="71"/>
      <c r="L6" s="70"/>
      <c r="M6" s="89"/>
      <c r="N6" s="73"/>
      <c r="O6" s="73"/>
      <c r="P6" s="79"/>
      <c r="Q6" s="75"/>
      <c r="R6" s="19" t="s">
        <v>20</v>
      </c>
      <c r="S6" s="19" t="s">
        <v>19</v>
      </c>
      <c r="T6" s="19" t="s">
        <v>20</v>
      </c>
      <c r="U6" s="19" t="s">
        <v>19</v>
      </c>
      <c r="V6" s="73"/>
      <c r="W6" s="75"/>
      <c r="X6" s="32" t="s">
        <v>8</v>
      </c>
      <c r="Y6" s="32" t="s">
        <v>10</v>
      </c>
      <c r="Z6" s="37" t="s">
        <v>41</v>
      </c>
      <c r="AA6" s="32" t="s">
        <v>8</v>
      </c>
      <c r="AB6" s="32" t="s">
        <v>10</v>
      </c>
      <c r="AC6" s="37" t="s">
        <v>41</v>
      </c>
      <c r="AD6" s="32" t="s">
        <v>8</v>
      </c>
      <c r="AE6" s="32" t="s">
        <v>10</v>
      </c>
      <c r="AF6" s="37" t="s">
        <v>41</v>
      </c>
      <c r="AG6" s="32" t="s">
        <v>8</v>
      </c>
      <c r="AH6" s="32" t="s">
        <v>10</v>
      </c>
      <c r="AI6" s="37" t="s">
        <v>41</v>
      </c>
      <c r="AJ6" s="39" t="s">
        <v>26</v>
      </c>
      <c r="AK6" s="39" t="s">
        <v>27</v>
      </c>
      <c r="AL6" s="39" t="s">
        <v>28</v>
      </c>
      <c r="AM6" s="39" t="s">
        <v>29</v>
      </c>
      <c r="AN6" s="39" t="s">
        <v>11</v>
      </c>
      <c r="AO6" s="39" t="s">
        <v>12</v>
      </c>
      <c r="AP6" s="39" t="s">
        <v>13</v>
      </c>
      <c r="AQ6" s="39" t="s">
        <v>14</v>
      </c>
      <c r="AR6" s="39" t="s">
        <v>26</v>
      </c>
      <c r="AS6" s="39" t="s">
        <v>27</v>
      </c>
      <c r="AT6" s="39" t="s">
        <v>28</v>
      </c>
      <c r="AU6" s="39" t="s">
        <v>29</v>
      </c>
      <c r="AV6" s="39" t="s">
        <v>11</v>
      </c>
      <c r="AW6" s="39" t="s">
        <v>12</v>
      </c>
      <c r="AX6" s="39" t="s">
        <v>13</v>
      </c>
      <c r="AY6" s="39" t="s">
        <v>14</v>
      </c>
      <c r="AZ6" s="80"/>
      <c r="BA6" s="80"/>
      <c r="BB6" s="80"/>
      <c r="BC6" s="70"/>
      <c r="BD6" s="42"/>
    </row>
    <row r="7" spans="1:56" ht="26.25" customHeight="1" x14ac:dyDescent="0.4">
      <c r="A7" s="30" t="s">
        <v>5</v>
      </c>
      <c r="B7" s="29" t="s">
        <v>61</v>
      </c>
      <c r="C7" s="29" t="s">
        <v>62</v>
      </c>
      <c r="D7" s="30" t="s">
        <v>18</v>
      </c>
      <c r="E7" s="31" t="s">
        <v>59</v>
      </c>
      <c r="F7" s="16" t="s">
        <v>63</v>
      </c>
      <c r="G7" s="15" t="s">
        <v>64</v>
      </c>
      <c r="H7" s="15">
        <v>26</v>
      </c>
      <c r="I7" s="15">
        <v>1</v>
      </c>
      <c r="J7" s="62">
        <f>H7+I7</f>
        <v>27</v>
      </c>
      <c r="K7" s="15">
        <v>677</v>
      </c>
      <c r="L7" s="15">
        <v>35</v>
      </c>
      <c r="M7" s="20" t="s">
        <v>22</v>
      </c>
      <c r="N7" s="15">
        <v>94</v>
      </c>
      <c r="O7" s="15">
        <v>97</v>
      </c>
      <c r="P7" s="25">
        <f>N7+O7</f>
        <v>191</v>
      </c>
      <c r="Q7" s="23">
        <v>46084</v>
      </c>
      <c r="R7" s="23">
        <v>46220</v>
      </c>
      <c r="S7" s="21">
        <v>46252</v>
      </c>
      <c r="T7" s="23">
        <v>46030</v>
      </c>
      <c r="U7" s="23"/>
      <c r="V7" s="23">
        <v>46030</v>
      </c>
      <c r="W7" s="51"/>
      <c r="X7" s="23">
        <v>46142</v>
      </c>
      <c r="Y7" s="23">
        <v>46143</v>
      </c>
      <c r="Z7" s="22">
        <f>NETWORKDAYS(X7,Y7)</f>
        <v>2</v>
      </c>
      <c r="AA7" s="23">
        <v>46202</v>
      </c>
      <c r="AB7" s="23">
        <v>46204</v>
      </c>
      <c r="AC7" s="22">
        <f>NETWORKDAYS(AA7,AB7)</f>
        <v>3</v>
      </c>
      <c r="AD7" s="23">
        <v>46307</v>
      </c>
      <c r="AE7" s="23">
        <v>46308</v>
      </c>
      <c r="AF7" s="22">
        <f>NETWORKDAYS(AD7,AE7)</f>
        <v>2</v>
      </c>
      <c r="AG7" s="23">
        <v>46370</v>
      </c>
      <c r="AH7" s="23">
        <v>46372</v>
      </c>
      <c r="AI7" s="22">
        <f>NETWORKDAYS(AG7,AH7)</f>
        <v>3</v>
      </c>
      <c r="AJ7" s="44">
        <v>46120</v>
      </c>
      <c r="AK7" s="44">
        <v>46146</v>
      </c>
      <c r="AL7" s="44"/>
      <c r="AM7" s="21"/>
      <c r="AN7" s="21"/>
      <c r="AO7" s="21"/>
      <c r="AP7" s="21"/>
      <c r="AQ7" s="21"/>
      <c r="AR7" s="21">
        <v>46345</v>
      </c>
      <c r="AS7" s="21"/>
      <c r="AT7" s="21"/>
      <c r="AU7" s="21"/>
      <c r="AV7" s="21"/>
      <c r="AW7" s="21"/>
      <c r="AX7" s="21"/>
      <c r="AY7" s="21"/>
      <c r="AZ7" s="24">
        <f xml:space="preserve"> COUNTIFS($AJ7:$AQ7,"&gt;=8")</f>
        <v>2</v>
      </c>
      <c r="BA7" s="24">
        <f xml:space="preserve"> COUNTIFS($AR7:$AY7,"&gt;=8")</f>
        <v>1</v>
      </c>
      <c r="BB7" s="26">
        <f>AZ7+BA7</f>
        <v>3</v>
      </c>
      <c r="BC7" s="15"/>
      <c r="BD7" s="42"/>
    </row>
    <row r="8" spans="1:56" ht="26.25" customHeight="1" x14ac:dyDescent="0.4">
      <c r="A8" s="30">
        <v>1</v>
      </c>
      <c r="B8" s="29" t="s">
        <v>61</v>
      </c>
      <c r="C8" s="29" t="s">
        <v>62</v>
      </c>
      <c r="D8" s="30" t="s">
        <v>18</v>
      </c>
      <c r="E8" s="31" t="s">
        <v>59</v>
      </c>
      <c r="F8" s="16" t="s">
        <v>63</v>
      </c>
      <c r="G8" s="15" t="s">
        <v>64</v>
      </c>
      <c r="H8" s="15">
        <v>26</v>
      </c>
      <c r="I8" s="15">
        <v>1</v>
      </c>
      <c r="J8" s="63"/>
      <c r="K8" s="15">
        <v>677</v>
      </c>
      <c r="L8" s="15">
        <v>35</v>
      </c>
      <c r="M8" s="20">
        <v>3</v>
      </c>
      <c r="N8" s="15">
        <v>94</v>
      </c>
      <c r="O8" s="15">
        <v>97</v>
      </c>
      <c r="P8" s="25">
        <f>N8+O8</f>
        <v>191</v>
      </c>
      <c r="Q8" s="23">
        <v>46084</v>
      </c>
      <c r="R8" s="23">
        <v>46220</v>
      </c>
      <c r="S8" s="21">
        <v>46252</v>
      </c>
      <c r="T8" s="23">
        <v>46030</v>
      </c>
      <c r="U8" s="23"/>
      <c r="V8" s="51"/>
      <c r="W8" s="23">
        <v>46030</v>
      </c>
      <c r="X8" s="23">
        <v>46142</v>
      </c>
      <c r="Y8" s="23">
        <v>46143</v>
      </c>
      <c r="Z8" s="22">
        <f>NETWORKDAYS(X8,Y8)</f>
        <v>2</v>
      </c>
      <c r="AA8" s="23">
        <v>46202</v>
      </c>
      <c r="AB8" s="23">
        <v>46204</v>
      </c>
      <c r="AC8" s="22">
        <f>NETWORKDAYS(AA8,AB8)</f>
        <v>3</v>
      </c>
      <c r="AD8" s="23">
        <v>46287</v>
      </c>
      <c r="AE8" s="23">
        <v>46288</v>
      </c>
      <c r="AF8" s="22">
        <f>NETWORKDAYS(AD8,AE8)</f>
        <v>2</v>
      </c>
      <c r="AG8" s="23">
        <v>46330</v>
      </c>
      <c r="AH8" s="23">
        <v>46332</v>
      </c>
      <c r="AI8" s="22">
        <f>NETWORKDAYS(AG8,AH8)</f>
        <v>3</v>
      </c>
      <c r="AJ8" s="44">
        <v>46146</v>
      </c>
      <c r="AK8" s="44"/>
      <c r="AL8" s="44"/>
      <c r="AM8" s="21"/>
      <c r="AN8" s="21"/>
      <c r="AO8" s="21"/>
      <c r="AP8" s="21"/>
      <c r="AQ8" s="21"/>
      <c r="AR8" s="21">
        <v>46345</v>
      </c>
      <c r="AS8" s="21"/>
      <c r="AT8" s="21"/>
      <c r="AU8" s="21"/>
      <c r="AV8" s="21"/>
      <c r="AW8" s="21"/>
      <c r="AX8" s="21"/>
      <c r="AY8" s="21"/>
      <c r="AZ8" s="24">
        <f xml:space="preserve"> COUNTIFS($AJ8:$AQ8,"&gt;=8")</f>
        <v>1</v>
      </c>
      <c r="BA8" s="24">
        <f xml:space="preserve"> COUNTIFS($AR8:$AY8,"&gt;=8")</f>
        <v>1</v>
      </c>
      <c r="BB8" s="26">
        <f>AZ8+BA8</f>
        <v>2</v>
      </c>
      <c r="BC8" s="15"/>
      <c r="BD8" s="42"/>
    </row>
    <row r="9" spans="1:56" ht="26.25" customHeight="1" x14ac:dyDescent="0.4">
      <c r="A9" s="14">
        <v>2</v>
      </c>
      <c r="B9" s="13" t="s">
        <v>61</v>
      </c>
      <c r="C9" s="13" t="s">
        <v>65</v>
      </c>
      <c r="D9" s="14" t="s">
        <v>18</v>
      </c>
      <c r="E9" s="31" t="s">
        <v>60</v>
      </c>
      <c r="F9" s="16" t="s">
        <v>66</v>
      </c>
      <c r="G9" s="15" t="s">
        <v>67</v>
      </c>
      <c r="H9" s="15">
        <v>30</v>
      </c>
      <c r="I9" s="15">
        <v>2</v>
      </c>
      <c r="J9" s="62">
        <f>H9+I9</f>
        <v>32</v>
      </c>
      <c r="K9" s="15">
        <v>802</v>
      </c>
      <c r="L9" s="15">
        <v>42</v>
      </c>
      <c r="M9" s="20" t="s">
        <v>22</v>
      </c>
      <c r="N9" s="15">
        <v>98</v>
      </c>
      <c r="O9" s="15">
        <v>94</v>
      </c>
      <c r="P9" s="25">
        <f>N9+O9</f>
        <v>192</v>
      </c>
      <c r="Q9" s="23">
        <v>46084</v>
      </c>
      <c r="R9" s="23">
        <v>46225</v>
      </c>
      <c r="S9" s="21">
        <v>46252</v>
      </c>
      <c r="T9" s="23">
        <v>46384</v>
      </c>
      <c r="U9" s="23">
        <v>46419</v>
      </c>
      <c r="V9" s="23">
        <v>46423</v>
      </c>
      <c r="W9" s="51"/>
      <c r="X9" s="23">
        <v>46139</v>
      </c>
      <c r="Y9" s="23">
        <v>46140</v>
      </c>
      <c r="Z9" s="22">
        <f>NETWORKDAYS(X9,Y9)</f>
        <v>2</v>
      </c>
      <c r="AA9" s="23">
        <v>46204</v>
      </c>
      <c r="AB9" s="23">
        <v>46206</v>
      </c>
      <c r="AC9" s="22">
        <f>NETWORKDAYS(AA9,AB9)</f>
        <v>3</v>
      </c>
      <c r="AD9" s="23">
        <v>46307</v>
      </c>
      <c r="AE9" s="23">
        <v>46308</v>
      </c>
      <c r="AF9" s="22">
        <f>NETWORKDAYS(AD9,AE9)</f>
        <v>2</v>
      </c>
      <c r="AG9" s="23">
        <v>46370</v>
      </c>
      <c r="AH9" s="23">
        <v>46372</v>
      </c>
      <c r="AI9" s="22">
        <f>NETWORKDAYS(AG9,AH9)</f>
        <v>3</v>
      </c>
      <c r="AJ9" s="44">
        <v>46146</v>
      </c>
      <c r="AK9" s="44"/>
      <c r="AL9" s="44"/>
      <c r="AM9" s="21"/>
      <c r="AN9" s="21"/>
      <c r="AO9" s="21"/>
      <c r="AP9" s="21"/>
      <c r="AQ9" s="21"/>
      <c r="AR9" s="21">
        <v>46345</v>
      </c>
      <c r="AS9" s="21"/>
      <c r="AT9" s="21"/>
      <c r="AU9" s="21"/>
      <c r="AV9" s="21"/>
      <c r="AW9" s="21"/>
      <c r="AX9" s="21"/>
      <c r="AY9" s="21"/>
      <c r="AZ9" s="24">
        <f xml:space="preserve"> COUNTIFS($AJ9:$AQ9,"&gt;=8")</f>
        <v>1</v>
      </c>
      <c r="BA9" s="24">
        <f xml:space="preserve"> COUNTIFS($AR9:$AY9,"&gt;=8")</f>
        <v>1</v>
      </c>
      <c r="BB9" s="26">
        <f>AZ9+BA9</f>
        <v>2</v>
      </c>
      <c r="BC9" s="15"/>
      <c r="BD9" s="42"/>
    </row>
    <row r="10" spans="1:56" ht="26.25" customHeight="1" x14ac:dyDescent="0.4">
      <c r="A10" s="14">
        <v>2</v>
      </c>
      <c r="B10" s="13" t="s">
        <v>61</v>
      </c>
      <c r="C10" s="13" t="s">
        <v>65</v>
      </c>
      <c r="D10" s="14" t="s">
        <v>18</v>
      </c>
      <c r="E10" s="15" t="s">
        <v>60</v>
      </c>
      <c r="F10" s="16" t="s">
        <v>66</v>
      </c>
      <c r="G10" s="15" t="s">
        <v>67</v>
      </c>
      <c r="H10" s="15">
        <v>30</v>
      </c>
      <c r="I10" s="15">
        <v>2</v>
      </c>
      <c r="J10" s="63"/>
      <c r="K10" s="15">
        <v>802</v>
      </c>
      <c r="L10" s="15">
        <v>42</v>
      </c>
      <c r="M10" s="20">
        <v>3</v>
      </c>
      <c r="N10" s="15">
        <v>98</v>
      </c>
      <c r="O10" s="15">
        <v>94</v>
      </c>
      <c r="P10" s="25">
        <f>N10+O10</f>
        <v>192</v>
      </c>
      <c r="Q10" s="23">
        <v>46084</v>
      </c>
      <c r="R10" s="23">
        <v>46225</v>
      </c>
      <c r="S10" s="21">
        <v>46252</v>
      </c>
      <c r="T10" s="23">
        <v>46384</v>
      </c>
      <c r="U10" s="23">
        <v>46419</v>
      </c>
      <c r="V10" s="51"/>
      <c r="W10" s="23">
        <v>46423</v>
      </c>
      <c r="X10" s="23">
        <v>46139</v>
      </c>
      <c r="Y10" s="23">
        <v>46140</v>
      </c>
      <c r="Z10" s="22">
        <f>NETWORKDAYS(X10,Y10)</f>
        <v>2</v>
      </c>
      <c r="AA10" s="23">
        <v>46204</v>
      </c>
      <c r="AB10" s="23">
        <v>46206</v>
      </c>
      <c r="AC10" s="22">
        <f>NETWORKDAYS(AA10,AB10)</f>
        <v>3</v>
      </c>
      <c r="AD10" s="23">
        <v>46287</v>
      </c>
      <c r="AE10" s="23">
        <v>46288</v>
      </c>
      <c r="AF10" s="22">
        <f>NETWORKDAYS(AD10,AE10)</f>
        <v>2</v>
      </c>
      <c r="AG10" s="23">
        <v>46330</v>
      </c>
      <c r="AH10" s="23">
        <v>46332</v>
      </c>
      <c r="AI10" s="22">
        <f>NETWORKDAYS(AG10,AH10)</f>
        <v>3</v>
      </c>
      <c r="AJ10" s="44">
        <v>46146</v>
      </c>
      <c r="AK10" s="44"/>
      <c r="AL10" s="44"/>
      <c r="AM10" s="21"/>
      <c r="AN10" s="21"/>
      <c r="AO10" s="21"/>
      <c r="AP10" s="21"/>
      <c r="AQ10" s="21"/>
      <c r="AR10" s="21">
        <v>46345</v>
      </c>
      <c r="AS10" s="21"/>
      <c r="AT10" s="21"/>
      <c r="AU10" s="21"/>
      <c r="AV10" s="21"/>
      <c r="AW10" s="21"/>
      <c r="AX10" s="21"/>
      <c r="AY10" s="21"/>
      <c r="AZ10" s="24">
        <f xml:space="preserve"> COUNTIFS($AJ10:$AQ10,"&gt;=8")</f>
        <v>1</v>
      </c>
      <c r="BA10" s="24">
        <f xml:space="preserve"> COUNTIFS($AR10:$AY10,"&gt;=8")</f>
        <v>1</v>
      </c>
      <c r="BB10" s="26">
        <f>AZ10+BA10</f>
        <v>2</v>
      </c>
      <c r="BC10" s="15"/>
      <c r="BD10" s="42"/>
    </row>
    <row r="11" spans="1:56" s="11" customFormat="1" ht="15" customHeight="1" x14ac:dyDescent="0.4">
      <c r="A11" s="8"/>
      <c r="B11" s="8"/>
      <c r="C11" s="8"/>
      <c r="D11" s="8"/>
      <c r="E11" s="8"/>
      <c r="F11" s="8"/>
      <c r="G11" s="9"/>
      <c r="H11" s="8"/>
      <c r="I11" s="8"/>
      <c r="J11" s="8"/>
      <c r="K11" s="8"/>
      <c r="L11" s="9"/>
      <c r="M11" s="9"/>
      <c r="N11" s="10"/>
      <c r="O11" s="10"/>
      <c r="P11" s="10"/>
      <c r="Q11" s="9"/>
      <c r="R11" s="9"/>
      <c r="S11" s="9"/>
      <c r="T11" s="9"/>
      <c r="U11" s="9"/>
      <c r="V11" s="9"/>
      <c r="W11" s="9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  <row r="12" spans="1:56" s="11" customFormat="1" ht="15" customHeight="1" thickBot="1" x14ac:dyDescent="0.45">
      <c r="A12" s="8"/>
      <c r="B12" s="8"/>
      <c r="C12" s="8"/>
      <c r="D12" s="8"/>
      <c r="E12" s="8"/>
      <c r="F12" s="8"/>
      <c r="G12" s="9"/>
      <c r="H12" s="8"/>
      <c r="I12" s="8"/>
      <c r="J12" s="8"/>
      <c r="K12" s="8"/>
      <c r="L12" s="9"/>
      <c r="M12" s="9"/>
      <c r="N12" s="10"/>
      <c r="O12" s="10"/>
      <c r="P12" s="10"/>
      <c r="Q12" s="9"/>
      <c r="R12" s="9"/>
      <c r="S12" s="9"/>
      <c r="T12" s="9"/>
      <c r="U12" s="9"/>
      <c r="V12" s="9"/>
      <c r="W12" s="9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</row>
    <row r="13" spans="1:56" s="48" customFormat="1" ht="300" customHeight="1" thickTop="1" thickBot="1" x14ac:dyDescent="0.45">
      <c r="A13" s="55" t="s">
        <v>76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AE13" s="46"/>
      <c r="AF13" s="48" t="s">
        <v>42</v>
      </c>
      <c r="AL13" s="48" t="s">
        <v>42</v>
      </c>
    </row>
    <row r="14" spans="1:56" ht="13.8" thickTop="1" x14ac:dyDescent="0.4">
      <c r="M14" s="9"/>
    </row>
    <row r="17" spans="17:23" x14ac:dyDescent="0.4">
      <c r="Q17" s="17"/>
      <c r="W17" s="17"/>
    </row>
  </sheetData>
  <mergeCells count="40">
    <mergeCell ref="A13:Y13"/>
    <mergeCell ref="X5:Z5"/>
    <mergeCell ref="AA5:AC5"/>
    <mergeCell ref="AD5:AF5"/>
    <mergeCell ref="AG5:AI5"/>
    <mergeCell ref="O5:O6"/>
    <mergeCell ref="Q5:Q6"/>
    <mergeCell ref="J5:J6"/>
    <mergeCell ref="A4:A6"/>
    <mergeCell ref="B4:G4"/>
    <mergeCell ref="B5:B6"/>
    <mergeCell ref="C5:C6"/>
    <mergeCell ref="D5:D6"/>
    <mergeCell ref="E5:E6"/>
    <mergeCell ref="F5:F6"/>
    <mergeCell ref="M4:M6"/>
    <mergeCell ref="X4:AI4"/>
    <mergeCell ref="BC4:BC6"/>
    <mergeCell ref="BA5:BA6"/>
    <mergeCell ref="BB5:BB6"/>
    <mergeCell ref="AJ4:BB4"/>
    <mergeCell ref="AZ5:AZ6"/>
    <mergeCell ref="AJ5:AQ5"/>
    <mergeCell ref="AR5:AY5"/>
    <mergeCell ref="W5:W6"/>
    <mergeCell ref="Q4:W4"/>
    <mergeCell ref="P5:P6"/>
    <mergeCell ref="R5:S5"/>
    <mergeCell ref="T5:U5"/>
    <mergeCell ref="V5:V6"/>
    <mergeCell ref="J7:J8"/>
    <mergeCell ref="J9:J10"/>
    <mergeCell ref="E2:S2"/>
    <mergeCell ref="H4:L4"/>
    <mergeCell ref="H5:I5"/>
    <mergeCell ref="N4:P4"/>
    <mergeCell ref="G5:G6"/>
    <mergeCell ref="K5:K6"/>
    <mergeCell ref="L5:L6"/>
    <mergeCell ref="N5:N6"/>
  </mergeCells>
  <phoneticPr fontId="27" type="noConversion"/>
  <dataValidations count="5">
    <dataValidation type="list" allowBlank="1" showInputMessage="1" showErrorMessage="1" sqref="E7:E10" xr:uid="{1F4DEAFD-AA5E-44E2-947A-1BF667D54280}">
      <formula1>"국립,공립,사립"</formula1>
    </dataValidation>
    <dataValidation type="whole" allowBlank="1" showInputMessage="1" showErrorMessage="1" sqref="AZ7:BA10" xr:uid="{B695C083-AEC0-4BFE-BA87-52C2F99EBF89}">
      <formula1>0</formula1>
      <formula2>10</formula2>
    </dataValidation>
    <dataValidation type="list" allowBlank="1" showInputMessage="1" showErrorMessage="1" sqref="F7:F10" xr:uid="{712DDC02-A866-46F2-804D-C52FE55C177B}">
      <formula1>"일반중,특성화중"</formula1>
    </dataValidation>
    <dataValidation type="list" allowBlank="1" showInputMessage="1" showErrorMessage="1" sqref="M7:M10" xr:uid="{22E2F3DC-2A58-4599-AE6A-1662DDA1F22A}">
      <formula1>"1~2, 3"</formula1>
    </dataValidation>
    <dataValidation type="list" allowBlank="1" showInputMessage="1" showErrorMessage="1" sqref="M16:M1048576 M11:M14 M3 M1" xr:uid="{C7E41A10-445D-488A-8001-40E5ED2164A7}">
      <formula1>"1,2,3"</formula1>
    </dataValidation>
  </dataValidations>
  <pageMargins left="0.15748031496062992" right="0.19685039370078741" top="0.74803149606299213" bottom="0.74803149606299213" header="0.31496062992125984" footer="0.31496062992125984"/>
  <pageSetup paperSize="9" scale="22" orientation="landscape" cellComments="asDisplayed" horizontalDpi="300" verticalDpi="300" r:id="rId1"/>
  <colBreaks count="1" manualBreakCount="1">
    <brk id="18" max="1048575" man="1"/>
  </colBreaks>
  <ignoredErrors>
    <ignoredError sqref="A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5"/>
  <sheetViews>
    <sheetView zoomScaleNormal="100" workbookViewId="0">
      <selection activeCell="E2" sqref="E2:R2"/>
    </sheetView>
  </sheetViews>
  <sheetFormatPr defaultColWidth="9" defaultRowHeight="13.2" x14ac:dyDescent="0.4"/>
  <cols>
    <col min="1" max="1" width="5.3984375" style="1" customWidth="1"/>
    <col min="2" max="3" width="8.59765625" style="1" customWidth="1"/>
    <col min="4" max="4" width="6.59765625" style="1" customWidth="1"/>
    <col min="5" max="6" width="8.59765625" style="1" customWidth="1"/>
    <col min="7" max="7" width="14.5" style="5" customWidth="1"/>
    <col min="8" max="11" width="8.59765625" style="1" customWidth="1"/>
    <col min="12" max="12" width="8.59765625" style="5" customWidth="1"/>
    <col min="13" max="13" width="9.09765625" style="5" customWidth="1"/>
    <col min="14" max="16" width="8.59765625" style="5" customWidth="1"/>
    <col min="17" max="17" width="8.59765625" style="1" customWidth="1"/>
    <col min="18" max="21" width="8.59765625" style="5" customWidth="1"/>
    <col min="22" max="22" width="10.19921875" style="6" customWidth="1"/>
    <col min="23" max="23" width="9.59765625" style="1" customWidth="1"/>
    <col min="24" max="24" width="8.59765625" style="6" customWidth="1"/>
    <col min="25" max="40" width="8.59765625" style="5" customWidth="1"/>
    <col min="41" max="41" width="8.59765625" style="6" customWidth="1"/>
    <col min="42" max="55" width="8.59765625" style="7" customWidth="1"/>
    <col min="56" max="16384" width="9" style="7"/>
  </cols>
  <sheetData>
    <row r="1" spans="1:55" ht="21" customHeight="1" x14ac:dyDescent="0.4">
      <c r="G1" s="2"/>
      <c r="L1" s="2"/>
      <c r="M1" s="2"/>
      <c r="N1" s="2"/>
      <c r="O1" s="3"/>
      <c r="P1" s="3"/>
      <c r="R1" s="3"/>
      <c r="S1" s="3"/>
      <c r="T1" s="3"/>
      <c r="U1" s="3"/>
      <c r="V1" s="4"/>
      <c r="X1" s="4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spans="1:55" ht="30.6" customHeight="1" x14ac:dyDescent="0.4">
      <c r="E2" s="58" t="s">
        <v>72</v>
      </c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4"/>
      <c r="S2" s="6"/>
      <c r="T2" s="7"/>
      <c r="U2" s="6"/>
      <c r="V2" s="7"/>
      <c r="X2" s="7"/>
      <c r="AM2" s="6"/>
      <c r="AN2" s="6"/>
      <c r="AO2" s="7"/>
    </row>
    <row r="3" spans="1:55" ht="17.25" customHeight="1" x14ac:dyDescent="0.4">
      <c r="G3" s="2"/>
      <c r="L3" s="2"/>
      <c r="M3" s="2"/>
      <c r="N3" s="2"/>
      <c r="O3" s="3"/>
      <c r="P3" s="3"/>
      <c r="R3" s="3"/>
      <c r="S3" s="3"/>
      <c r="T3" s="3"/>
      <c r="U3" s="3"/>
      <c r="V3" s="4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</row>
    <row r="4" spans="1:55" ht="26.4" customHeight="1" x14ac:dyDescent="0.4">
      <c r="A4" s="71" t="s">
        <v>30</v>
      </c>
      <c r="B4" s="71" t="s">
        <v>7</v>
      </c>
      <c r="C4" s="71"/>
      <c r="D4" s="71"/>
      <c r="E4" s="71"/>
      <c r="F4" s="71"/>
      <c r="G4" s="71"/>
      <c r="H4" s="65" t="s">
        <v>57</v>
      </c>
      <c r="I4" s="66"/>
      <c r="J4" s="66"/>
      <c r="K4" s="66"/>
      <c r="L4" s="67"/>
      <c r="M4" s="87" t="s">
        <v>36</v>
      </c>
      <c r="N4" s="90" t="s">
        <v>3</v>
      </c>
      <c r="O4" s="90"/>
      <c r="P4" s="90"/>
      <c r="Q4" s="76" t="s">
        <v>53</v>
      </c>
      <c r="R4" s="77"/>
      <c r="S4" s="77"/>
      <c r="T4" s="77"/>
      <c r="U4" s="77"/>
      <c r="V4" s="77"/>
      <c r="W4" s="77"/>
      <c r="X4" s="70" t="s">
        <v>15</v>
      </c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 t="s">
        <v>9</v>
      </c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 t="s">
        <v>4</v>
      </c>
    </row>
    <row r="5" spans="1:55" ht="26.25" customHeight="1" x14ac:dyDescent="0.4">
      <c r="A5" s="71"/>
      <c r="B5" s="70" t="s">
        <v>74</v>
      </c>
      <c r="C5" s="71" t="s">
        <v>6</v>
      </c>
      <c r="D5" s="80" t="s">
        <v>37</v>
      </c>
      <c r="E5" s="70" t="s">
        <v>38</v>
      </c>
      <c r="F5" s="70" t="s">
        <v>39</v>
      </c>
      <c r="G5" s="70" t="s">
        <v>0</v>
      </c>
      <c r="H5" s="68" t="s">
        <v>31</v>
      </c>
      <c r="I5" s="69"/>
      <c r="J5" s="84" t="s">
        <v>35</v>
      </c>
      <c r="K5" s="70" t="s">
        <v>51</v>
      </c>
      <c r="L5" s="70" t="s">
        <v>52</v>
      </c>
      <c r="M5" s="88"/>
      <c r="N5" s="70" t="s">
        <v>1</v>
      </c>
      <c r="O5" s="70" t="s">
        <v>2</v>
      </c>
      <c r="P5" s="78" t="s">
        <v>34</v>
      </c>
      <c r="Q5" s="74" t="s">
        <v>21</v>
      </c>
      <c r="R5" s="70" t="s">
        <v>23</v>
      </c>
      <c r="S5" s="70"/>
      <c r="T5" s="70" t="s">
        <v>24</v>
      </c>
      <c r="U5" s="70"/>
      <c r="V5" s="72" t="s">
        <v>56</v>
      </c>
      <c r="W5" s="74" t="s">
        <v>75</v>
      </c>
      <c r="X5" s="70" t="s">
        <v>47</v>
      </c>
      <c r="Y5" s="70"/>
      <c r="Z5" s="70"/>
      <c r="AA5" s="70" t="s">
        <v>48</v>
      </c>
      <c r="AB5" s="70"/>
      <c r="AC5" s="70"/>
      <c r="AD5" s="70" t="s">
        <v>49</v>
      </c>
      <c r="AE5" s="70"/>
      <c r="AF5" s="70"/>
      <c r="AG5" s="70" t="s">
        <v>50</v>
      </c>
      <c r="AH5" s="70"/>
      <c r="AI5" s="70"/>
      <c r="AJ5" s="81" t="s">
        <v>45</v>
      </c>
      <c r="AK5" s="82"/>
      <c r="AL5" s="82"/>
      <c r="AM5" s="82"/>
      <c r="AN5" s="82"/>
      <c r="AO5" s="82"/>
      <c r="AP5" s="82"/>
      <c r="AQ5" s="83"/>
      <c r="AR5" s="81" t="s">
        <v>46</v>
      </c>
      <c r="AS5" s="82"/>
      <c r="AT5" s="82"/>
      <c r="AU5" s="82"/>
      <c r="AV5" s="82"/>
      <c r="AW5" s="82"/>
      <c r="AX5" s="82"/>
      <c r="AY5" s="83"/>
      <c r="AZ5" s="80" t="s">
        <v>43</v>
      </c>
      <c r="BA5" s="80" t="s">
        <v>44</v>
      </c>
      <c r="BB5" s="80" t="s">
        <v>40</v>
      </c>
      <c r="BC5" s="70"/>
    </row>
    <row r="6" spans="1:55" ht="26.25" customHeight="1" x14ac:dyDescent="0.4">
      <c r="A6" s="71"/>
      <c r="B6" s="71"/>
      <c r="C6" s="71"/>
      <c r="D6" s="86"/>
      <c r="E6" s="70"/>
      <c r="F6" s="70"/>
      <c r="G6" s="70"/>
      <c r="H6" s="33" t="s">
        <v>32</v>
      </c>
      <c r="I6" s="33" t="s">
        <v>33</v>
      </c>
      <c r="J6" s="85"/>
      <c r="K6" s="71"/>
      <c r="L6" s="70"/>
      <c r="M6" s="89"/>
      <c r="N6" s="70"/>
      <c r="O6" s="70"/>
      <c r="P6" s="79"/>
      <c r="Q6" s="75"/>
      <c r="R6" s="19" t="s">
        <v>20</v>
      </c>
      <c r="S6" s="19" t="s">
        <v>19</v>
      </c>
      <c r="T6" s="19" t="s">
        <v>20</v>
      </c>
      <c r="U6" s="19" t="s">
        <v>19</v>
      </c>
      <c r="V6" s="73"/>
      <c r="W6" s="75"/>
      <c r="X6" s="28" t="s">
        <v>8</v>
      </c>
      <c r="Y6" s="19" t="s">
        <v>10</v>
      </c>
      <c r="Z6" s="37" t="s">
        <v>16</v>
      </c>
      <c r="AA6" s="28" t="s">
        <v>8</v>
      </c>
      <c r="AB6" s="19" t="s">
        <v>10</v>
      </c>
      <c r="AC6" s="37" t="s">
        <v>16</v>
      </c>
      <c r="AD6" s="28" t="s">
        <v>8</v>
      </c>
      <c r="AE6" s="19" t="s">
        <v>10</v>
      </c>
      <c r="AF6" s="37" t="s">
        <v>16</v>
      </c>
      <c r="AG6" s="28" t="s">
        <v>8</v>
      </c>
      <c r="AH6" s="19" t="s">
        <v>10</v>
      </c>
      <c r="AI6" s="37" t="s">
        <v>16</v>
      </c>
      <c r="AJ6" s="39" t="s">
        <v>26</v>
      </c>
      <c r="AK6" s="39" t="s">
        <v>27</v>
      </c>
      <c r="AL6" s="39" t="s">
        <v>28</v>
      </c>
      <c r="AM6" s="39" t="s">
        <v>29</v>
      </c>
      <c r="AN6" s="39" t="s">
        <v>11</v>
      </c>
      <c r="AO6" s="39" t="s">
        <v>12</v>
      </c>
      <c r="AP6" s="39" t="s">
        <v>13</v>
      </c>
      <c r="AQ6" s="39" t="s">
        <v>14</v>
      </c>
      <c r="AR6" s="39" t="s">
        <v>26</v>
      </c>
      <c r="AS6" s="39" t="s">
        <v>27</v>
      </c>
      <c r="AT6" s="39" t="s">
        <v>28</v>
      </c>
      <c r="AU6" s="39" t="s">
        <v>29</v>
      </c>
      <c r="AV6" s="39" t="s">
        <v>11</v>
      </c>
      <c r="AW6" s="39" t="s">
        <v>12</v>
      </c>
      <c r="AX6" s="39" t="s">
        <v>13</v>
      </c>
      <c r="AY6" s="39" t="s">
        <v>14</v>
      </c>
      <c r="AZ6" s="80"/>
      <c r="BA6" s="80"/>
      <c r="BB6" s="80"/>
      <c r="BC6" s="70"/>
    </row>
    <row r="7" spans="1:55" ht="26.25" customHeight="1" x14ac:dyDescent="0.4">
      <c r="A7" s="14" t="s">
        <v>5</v>
      </c>
      <c r="B7" s="13" t="s">
        <v>61</v>
      </c>
      <c r="C7" s="13" t="s">
        <v>62</v>
      </c>
      <c r="D7" s="14" t="s">
        <v>17</v>
      </c>
      <c r="E7" s="15" t="s">
        <v>59</v>
      </c>
      <c r="F7" s="16" t="s">
        <v>68</v>
      </c>
      <c r="G7" s="15" t="s">
        <v>70</v>
      </c>
      <c r="H7" s="15">
        <v>26</v>
      </c>
      <c r="I7" s="15">
        <v>1</v>
      </c>
      <c r="J7" s="62">
        <f>H7+I7</f>
        <v>27</v>
      </c>
      <c r="K7" s="15">
        <v>677</v>
      </c>
      <c r="L7" s="15">
        <v>35</v>
      </c>
      <c r="M7" s="20" t="s">
        <v>22</v>
      </c>
      <c r="N7" s="15">
        <v>94</v>
      </c>
      <c r="O7" s="15">
        <v>97</v>
      </c>
      <c r="P7" s="25">
        <f t="shared" ref="P7:P10" si="0">N7+O7</f>
        <v>191</v>
      </c>
      <c r="Q7" s="23">
        <v>46084</v>
      </c>
      <c r="R7" s="23">
        <v>46220</v>
      </c>
      <c r="S7" s="21">
        <v>46252</v>
      </c>
      <c r="T7" s="23">
        <v>46398</v>
      </c>
      <c r="U7" s="23"/>
      <c r="V7" s="23">
        <v>46398</v>
      </c>
      <c r="W7" s="50"/>
      <c r="X7" s="23">
        <v>46139</v>
      </c>
      <c r="Y7" s="23">
        <v>46142</v>
      </c>
      <c r="Z7" s="22">
        <f t="shared" ref="Z7:Z10" si="1">NETWORKDAYS(X7,Y7)</f>
        <v>4</v>
      </c>
      <c r="AA7" s="23">
        <v>46203</v>
      </c>
      <c r="AB7" s="23">
        <v>46206</v>
      </c>
      <c r="AC7" s="22">
        <f t="shared" ref="AC7:AC10" si="2">NETWORKDAYS(AA7,AB7)</f>
        <v>4</v>
      </c>
      <c r="AD7" s="23">
        <v>46293</v>
      </c>
      <c r="AE7" s="23">
        <v>46296</v>
      </c>
      <c r="AF7" s="22">
        <f t="shared" ref="AF7:AF10" si="3">NETWORKDAYS(AD7,AE7)</f>
        <v>4</v>
      </c>
      <c r="AG7" s="23">
        <v>46364</v>
      </c>
      <c r="AH7" s="23">
        <v>46367</v>
      </c>
      <c r="AI7" s="22">
        <f t="shared" ref="AI7:AI10" si="4">NETWORKDAYS(AG7,AH7)</f>
        <v>4</v>
      </c>
      <c r="AJ7" s="44">
        <v>46146</v>
      </c>
      <c r="AK7" s="44"/>
      <c r="AL7" s="44"/>
      <c r="AM7" s="21"/>
      <c r="AN7" s="21"/>
      <c r="AO7" s="21"/>
      <c r="AP7" s="21"/>
      <c r="AQ7" s="21"/>
      <c r="AR7" s="21">
        <v>46344</v>
      </c>
      <c r="AS7" s="21">
        <v>46345</v>
      </c>
      <c r="AT7" s="21"/>
      <c r="AU7" s="21"/>
      <c r="AV7" s="21"/>
      <c r="AW7" s="21"/>
      <c r="AX7" s="21"/>
      <c r="AY7" s="21"/>
      <c r="AZ7" s="24">
        <f xml:space="preserve"> COUNTIFS($AJ7:$AQ7,"&gt;=8")</f>
        <v>1</v>
      </c>
      <c r="BA7" s="24">
        <f xml:space="preserve"> COUNTIFS($AR7:$AY7,"&gt;=8")</f>
        <v>2</v>
      </c>
      <c r="BB7" s="26">
        <f t="shared" ref="BB7:BB10" si="5">AZ7+BA7</f>
        <v>3</v>
      </c>
      <c r="BC7" s="15"/>
    </row>
    <row r="8" spans="1:55" ht="26.25" customHeight="1" x14ac:dyDescent="0.4">
      <c r="A8" s="14">
        <v>1</v>
      </c>
      <c r="B8" s="13" t="s">
        <v>61</v>
      </c>
      <c r="C8" s="13" t="s">
        <v>62</v>
      </c>
      <c r="D8" s="14" t="s">
        <v>25</v>
      </c>
      <c r="E8" s="15" t="s">
        <v>59</v>
      </c>
      <c r="F8" s="16" t="s">
        <v>68</v>
      </c>
      <c r="G8" s="15" t="s">
        <v>70</v>
      </c>
      <c r="H8" s="15">
        <v>26</v>
      </c>
      <c r="I8" s="15">
        <v>1</v>
      </c>
      <c r="J8" s="63"/>
      <c r="K8" s="15">
        <v>677</v>
      </c>
      <c r="L8" s="15">
        <v>35</v>
      </c>
      <c r="M8" s="20">
        <v>3</v>
      </c>
      <c r="N8" s="15">
        <v>94</v>
      </c>
      <c r="O8" s="15">
        <v>97</v>
      </c>
      <c r="P8" s="25">
        <f t="shared" si="0"/>
        <v>191</v>
      </c>
      <c r="Q8" s="23">
        <v>46084</v>
      </c>
      <c r="R8" s="23">
        <v>46220</v>
      </c>
      <c r="S8" s="21">
        <v>46252</v>
      </c>
      <c r="T8" s="23">
        <v>46398</v>
      </c>
      <c r="U8" s="23"/>
      <c r="V8" s="50"/>
      <c r="W8" s="23">
        <v>46398</v>
      </c>
      <c r="X8" s="23">
        <v>46139</v>
      </c>
      <c r="Y8" s="23">
        <v>46142</v>
      </c>
      <c r="Z8" s="22">
        <f t="shared" si="1"/>
        <v>4</v>
      </c>
      <c r="AA8" s="23">
        <v>46203</v>
      </c>
      <c r="AB8" s="23">
        <v>46206</v>
      </c>
      <c r="AC8" s="22">
        <f t="shared" si="2"/>
        <v>4</v>
      </c>
      <c r="AD8" s="23">
        <v>46293</v>
      </c>
      <c r="AE8" s="23">
        <v>46296</v>
      </c>
      <c r="AF8" s="22">
        <f t="shared" si="3"/>
        <v>4</v>
      </c>
      <c r="AG8" s="23">
        <v>46356</v>
      </c>
      <c r="AH8" s="23">
        <v>46359</v>
      </c>
      <c r="AI8" s="22">
        <f t="shared" si="4"/>
        <v>4</v>
      </c>
      <c r="AJ8" s="44">
        <v>46146</v>
      </c>
      <c r="AK8" s="44"/>
      <c r="AL8" s="44"/>
      <c r="AM8" s="21"/>
      <c r="AN8" s="21"/>
      <c r="AO8" s="21"/>
      <c r="AP8" s="21"/>
      <c r="AQ8" s="21"/>
      <c r="AR8" s="21">
        <v>46344</v>
      </c>
      <c r="AS8" s="21">
        <v>46345</v>
      </c>
      <c r="AT8" s="21"/>
      <c r="AU8" s="21"/>
      <c r="AV8" s="21"/>
      <c r="AW8" s="21"/>
      <c r="AX8" s="21"/>
      <c r="AY8" s="21"/>
      <c r="AZ8" s="24">
        <f xml:space="preserve"> COUNTIFS($AJ8:$AQ8,"&gt;=8")</f>
        <v>1</v>
      </c>
      <c r="BA8" s="24">
        <f xml:space="preserve"> COUNTIFS($AR8:$AY8,"&gt;=8")</f>
        <v>2</v>
      </c>
      <c r="BB8" s="26">
        <f t="shared" si="5"/>
        <v>3</v>
      </c>
      <c r="BC8" s="15"/>
    </row>
    <row r="9" spans="1:55" ht="26.25" customHeight="1" x14ac:dyDescent="0.4">
      <c r="A9" s="14">
        <v>2</v>
      </c>
      <c r="B9" s="13" t="s">
        <v>61</v>
      </c>
      <c r="C9" s="13" t="s">
        <v>65</v>
      </c>
      <c r="D9" s="14" t="s">
        <v>17</v>
      </c>
      <c r="E9" s="15" t="s">
        <v>60</v>
      </c>
      <c r="F9" s="16" t="s">
        <v>69</v>
      </c>
      <c r="G9" s="15" t="s">
        <v>71</v>
      </c>
      <c r="H9" s="15">
        <v>30</v>
      </c>
      <c r="I9" s="15">
        <v>2</v>
      </c>
      <c r="J9" s="62">
        <f>H9+I9</f>
        <v>32</v>
      </c>
      <c r="K9" s="15">
        <v>802</v>
      </c>
      <c r="L9" s="15">
        <v>42</v>
      </c>
      <c r="M9" s="20" t="s">
        <v>22</v>
      </c>
      <c r="N9" s="15">
        <v>98</v>
      </c>
      <c r="O9" s="15">
        <v>94</v>
      </c>
      <c r="P9" s="25">
        <f t="shared" si="0"/>
        <v>192</v>
      </c>
      <c r="Q9" s="23">
        <v>46084</v>
      </c>
      <c r="R9" s="23">
        <v>46225</v>
      </c>
      <c r="S9" s="21">
        <v>46252</v>
      </c>
      <c r="T9" s="23">
        <v>46385</v>
      </c>
      <c r="U9" s="23">
        <v>46419</v>
      </c>
      <c r="V9" s="23">
        <v>46423</v>
      </c>
      <c r="W9" s="50"/>
      <c r="X9" s="23">
        <v>46139</v>
      </c>
      <c r="Y9" s="23">
        <v>46142</v>
      </c>
      <c r="Z9" s="22">
        <f t="shared" si="1"/>
        <v>4</v>
      </c>
      <c r="AA9" s="23">
        <v>46205</v>
      </c>
      <c r="AB9" s="23">
        <v>46210</v>
      </c>
      <c r="AC9" s="22">
        <f t="shared" si="2"/>
        <v>4</v>
      </c>
      <c r="AD9" s="23">
        <v>46294</v>
      </c>
      <c r="AE9" s="23">
        <v>46297</v>
      </c>
      <c r="AF9" s="22">
        <f t="shared" si="3"/>
        <v>4</v>
      </c>
      <c r="AG9" s="23">
        <v>46357</v>
      </c>
      <c r="AH9" s="23">
        <v>46360</v>
      </c>
      <c r="AI9" s="22">
        <f t="shared" si="4"/>
        <v>4</v>
      </c>
      <c r="AJ9" s="44">
        <v>46146</v>
      </c>
      <c r="AK9" s="44"/>
      <c r="AL9" s="44"/>
      <c r="AM9" s="21"/>
      <c r="AN9" s="21"/>
      <c r="AO9" s="21"/>
      <c r="AP9" s="21"/>
      <c r="AQ9" s="21"/>
      <c r="AR9" s="21">
        <v>46344</v>
      </c>
      <c r="AS9" s="21">
        <v>46345</v>
      </c>
      <c r="AT9" s="21"/>
      <c r="AU9" s="21"/>
      <c r="AV9" s="21"/>
      <c r="AW9" s="21"/>
      <c r="AX9" s="21"/>
      <c r="AY9" s="21"/>
      <c r="AZ9" s="24">
        <f xml:space="preserve"> COUNTIFS($AJ9:$AQ9,"&gt;=8")</f>
        <v>1</v>
      </c>
      <c r="BA9" s="24">
        <f xml:space="preserve"> COUNTIFS($AR9:$AY9,"&gt;=8")</f>
        <v>2</v>
      </c>
      <c r="BB9" s="26">
        <f t="shared" si="5"/>
        <v>3</v>
      </c>
      <c r="BC9" s="15"/>
    </row>
    <row r="10" spans="1:55" s="12" customFormat="1" ht="26.25" customHeight="1" x14ac:dyDescent="0.4">
      <c r="A10" s="14">
        <v>2</v>
      </c>
      <c r="B10" s="27" t="s">
        <v>61</v>
      </c>
      <c r="C10" s="27" t="s">
        <v>65</v>
      </c>
      <c r="D10" s="14" t="s">
        <v>17</v>
      </c>
      <c r="E10" s="15" t="s">
        <v>60</v>
      </c>
      <c r="F10" s="16" t="s">
        <v>69</v>
      </c>
      <c r="G10" s="15" t="s">
        <v>71</v>
      </c>
      <c r="H10" s="15">
        <v>30</v>
      </c>
      <c r="I10" s="15">
        <v>2</v>
      </c>
      <c r="J10" s="63"/>
      <c r="K10" s="15">
        <v>802</v>
      </c>
      <c r="L10" s="15">
        <v>42</v>
      </c>
      <c r="M10" s="20">
        <v>3</v>
      </c>
      <c r="N10" s="15">
        <v>98</v>
      </c>
      <c r="O10" s="15">
        <v>94</v>
      </c>
      <c r="P10" s="25">
        <f t="shared" si="0"/>
        <v>192</v>
      </c>
      <c r="Q10" s="23">
        <v>46084</v>
      </c>
      <c r="R10" s="23">
        <v>46225</v>
      </c>
      <c r="S10" s="21">
        <v>46252</v>
      </c>
      <c r="T10" s="23">
        <v>46385</v>
      </c>
      <c r="U10" s="23">
        <v>46419</v>
      </c>
      <c r="V10" s="50"/>
      <c r="W10" s="23">
        <v>46423</v>
      </c>
      <c r="X10" s="23">
        <v>46139</v>
      </c>
      <c r="Y10" s="23">
        <v>46142</v>
      </c>
      <c r="Z10" s="22">
        <f t="shared" si="1"/>
        <v>4</v>
      </c>
      <c r="AA10" s="23">
        <v>46205</v>
      </c>
      <c r="AB10" s="23">
        <v>46210</v>
      </c>
      <c r="AC10" s="22">
        <f t="shared" si="2"/>
        <v>4</v>
      </c>
      <c r="AD10" s="23">
        <v>46294</v>
      </c>
      <c r="AE10" s="23">
        <v>46297</v>
      </c>
      <c r="AF10" s="22">
        <f t="shared" si="3"/>
        <v>4</v>
      </c>
      <c r="AG10" s="23">
        <v>46356</v>
      </c>
      <c r="AH10" s="23">
        <v>46359</v>
      </c>
      <c r="AI10" s="22">
        <f t="shared" si="4"/>
        <v>4</v>
      </c>
      <c r="AJ10" s="44">
        <v>46146</v>
      </c>
      <c r="AK10" s="44"/>
      <c r="AL10" s="44"/>
      <c r="AM10" s="21"/>
      <c r="AN10" s="21"/>
      <c r="AO10" s="21"/>
      <c r="AP10" s="21"/>
      <c r="AQ10" s="21"/>
      <c r="AR10" s="21">
        <v>46344</v>
      </c>
      <c r="AS10" s="21">
        <v>46345</v>
      </c>
      <c r="AT10" s="21"/>
      <c r="AU10" s="21"/>
      <c r="AV10" s="21"/>
      <c r="AW10" s="21"/>
      <c r="AX10" s="21"/>
      <c r="AY10" s="21"/>
      <c r="AZ10" s="24">
        <f xml:space="preserve"> COUNTIFS($AJ10:$AQ10,"&gt;=8")</f>
        <v>1</v>
      </c>
      <c r="BA10" s="24">
        <f xml:space="preserve"> COUNTIFS($AR10:$AY10,"&gt;=8")</f>
        <v>2</v>
      </c>
      <c r="BB10" s="26">
        <f t="shared" si="5"/>
        <v>3</v>
      </c>
      <c r="BC10" s="15"/>
    </row>
    <row r="11" spans="1:55" s="11" customFormat="1" ht="15" customHeight="1" x14ac:dyDescent="0.4">
      <c r="A11" s="8"/>
      <c r="B11" s="8"/>
      <c r="C11" s="8"/>
      <c r="D11" s="8"/>
      <c r="E11" s="8"/>
      <c r="F11" s="8"/>
      <c r="G11" s="9"/>
      <c r="H11" s="8"/>
      <c r="I11" s="8"/>
      <c r="J11" s="8"/>
      <c r="K11" s="8"/>
      <c r="L11" s="9"/>
      <c r="M11" s="9"/>
      <c r="N11" s="10"/>
      <c r="O11" s="10"/>
      <c r="P11" s="10"/>
      <c r="Q11" s="8"/>
      <c r="R11" s="9"/>
      <c r="S11" s="9"/>
      <c r="T11" s="9"/>
      <c r="U11" s="9"/>
      <c r="V11" s="9"/>
      <c r="W11" s="8"/>
      <c r="X11" s="18"/>
      <c r="Y11" s="18"/>
      <c r="Z11" s="18"/>
      <c r="AA11" s="18"/>
      <c r="AB11" s="18"/>
      <c r="AC11" s="35"/>
      <c r="AD11" s="35"/>
      <c r="AE11" s="35"/>
      <c r="AF11" s="35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  <row r="12" spans="1:55" s="11" customFormat="1" ht="15" customHeight="1" x14ac:dyDescent="0.4">
      <c r="A12" s="8"/>
      <c r="B12" s="8"/>
      <c r="C12" s="8"/>
      <c r="D12" s="8"/>
      <c r="E12" s="8"/>
      <c r="F12" s="8"/>
      <c r="G12" s="9"/>
      <c r="H12" s="8"/>
      <c r="I12" s="8"/>
      <c r="J12" s="8"/>
      <c r="K12" s="8"/>
      <c r="L12" s="10"/>
      <c r="M12" s="10"/>
      <c r="N12" s="8"/>
      <c r="O12" s="9"/>
      <c r="P12" s="9"/>
      <c r="Q12" s="9"/>
      <c r="R12" s="9"/>
      <c r="S12" s="9"/>
      <c r="T12" s="8"/>
      <c r="U12" s="18"/>
      <c r="V12" s="18"/>
      <c r="W12" s="18"/>
      <c r="X12" s="18"/>
      <c r="Y12" s="18"/>
      <c r="Z12" s="35"/>
      <c r="AA12" s="36"/>
      <c r="AB12" s="36"/>
      <c r="AC12" s="35"/>
      <c r="AD12" s="18"/>
      <c r="AE12" s="18"/>
      <c r="AF12" s="18"/>
      <c r="AG12" s="18"/>
      <c r="AH12" s="18"/>
      <c r="AI12" s="18"/>
      <c r="AJ12" s="34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5" s="11" customFormat="1" ht="15" customHeight="1" x14ac:dyDescent="0.4">
      <c r="A13" s="8"/>
      <c r="B13" s="8"/>
      <c r="C13" s="8"/>
      <c r="D13" s="8"/>
      <c r="E13" s="8"/>
      <c r="F13" s="8"/>
      <c r="G13" s="9"/>
      <c r="H13" s="8"/>
      <c r="I13" s="8"/>
      <c r="J13" s="8"/>
      <c r="K13" s="8"/>
      <c r="L13" s="10"/>
      <c r="M13" s="10"/>
      <c r="N13" s="8"/>
      <c r="O13" s="9"/>
      <c r="P13" s="9" t="s">
        <v>42</v>
      </c>
      <c r="Q13" s="9"/>
      <c r="R13" s="38"/>
      <c r="S13" s="9"/>
      <c r="T13" s="8"/>
      <c r="U13" s="18"/>
      <c r="V13" s="18"/>
      <c r="W13" s="18"/>
      <c r="X13" s="18"/>
      <c r="Y13" s="18"/>
      <c r="Z13" s="35"/>
      <c r="AA13" s="35"/>
      <c r="AB13" s="35"/>
      <c r="AC13" s="35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5" s="11" customFormat="1" ht="15" customHeight="1" thickBot="1" x14ac:dyDescent="0.45">
      <c r="A14" s="8"/>
      <c r="B14" s="8"/>
      <c r="C14" s="8"/>
      <c r="D14" s="8"/>
      <c r="E14" s="8"/>
      <c r="F14" s="8"/>
      <c r="G14" s="9"/>
      <c r="H14" s="8"/>
      <c r="I14" s="8"/>
      <c r="J14" s="8"/>
      <c r="K14" s="8"/>
      <c r="L14" s="9"/>
      <c r="M14" s="9"/>
      <c r="N14" s="10"/>
      <c r="O14" s="10"/>
      <c r="P14" s="10"/>
      <c r="Q14" s="8"/>
      <c r="R14" s="9"/>
      <c r="S14" s="9"/>
      <c r="T14" s="9"/>
      <c r="U14" s="9"/>
      <c r="V14" s="9"/>
      <c r="W14" s="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</row>
    <row r="15" spans="1:55" s="48" customFormat="1" ht="300" customHeight="1" thickBot="1" x14ac:dyDescent="0.45">
      <c r="A15" s="91" t="s">
        <v>77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3"/>
      <c r="AD15" s="46"/>
      <c r="AE15" s="48" t="s">
        <v>42</v>
      </c>
      <c r="AK15" s="48" t="s">
        <v>42</v>
      </c>
    </row>
  </sheetData>
  <mergeCells count="40">
    <mergeCell ref="A15:Y15"/>
    <mergeCell ref="J9:J10"/>
    <mergeCell ref="J7:J8"/>
    <mergeCell ref="W5:W6"/>
    <mergeCell ref="Q4:W4"/>
    <mergeCell ref="T5:U5"/>
    <mergeCell ref="X5:Z5"/>
    <mergeCell ref="Q5:Q6"/>
    <mergeCell ref="A4:A6"/>
    <mergeCell ref="B4:G4"/>
    <mergeCell ref="V5:V6"/>
    <mergeCell ref="BC4:BC6"/>
    <mergeCell ref="P5:P6"/>
    <mergeCell ref="X4:AI4"/>
    <mergeCell ref="AJ4:BB4"/>
    <mergeCell ref="BB5:BB6"/>
    <mergeCell ref="AZ5:AZ6"/>
    <mergeCell ref="BA5:BA6"/>
    <mergeCell ref="AA5:AC5"/>
    <mergeCell ref="N4:P4"/>
    <mergeCell ref="N5:N6"/>
    <mergeCell ref="O5:O6"/>
    <mergeCell ref="AJ5:AQ5"/>
    <mergeCell ref="AR5:AY5"/>
    <mergeCell ref="AD5:AF5"/>
    <mergeCell ref="AG5:AI5"/>
    <mergeCell ref="R5:S5"/>
    <mergeCell ref="E2:R2"/>
    <mergeCell ref="B5:B6"/>
    <mergeCell ref="C5:C6"/>
    <mergeCell ref="D5:D6"/>
    <mergeCell ref="E5:E6"/>
    <mergeCell ref="F5:F6"/>
    <mergeCell ref="H5:I5"/>
    <mergeCell ref="H4:L4"/>
    <mergeCell ref="M4:M6"/>
    <mergeCell ref="G5:G6"/>
    <mergeCell ref="K5:K6"/>
    <mergeCell ref="L5:L6"/>
    <mergeCell ref="J5:J6"/>
  </mergeCells>
  <phoneticPr fontId="27" type="noConversion"/>
  <dataValidations count="5">
    <dataValidation type="list" allowBlank="1" showInputMessage="1" showErrorMessage="1" sqref="E7:E10" xr:uid="{00000000-0002-0000-0200-000000000000}">
      <formula1>"국립,공립,사립"</formula1>
    </dataValidation>
    <dataValidation type="list" allowBlank="1" showInputMessage="1" showErrorMessage="1" sqref="M16:M1048576 M11:M14 M3 M1" xr:uid="{00000000-0002-0000-0200-000002000000}">
      <formula1>"1,2,3"</formula1>
    </dataValidation>
    <dataValidation type="whole" allowBlank="1" showInputMessage="1" showErrorMessage="1" sqref="AZ7:BA10" xr:uid="{5AFCFD9A-9CE7-4AE4-AEE8-70DD6B395598}">
      <formula1>0</formula1>
      <formula2>10</formula2>
    </dataValidation>
    <dataValidation type="list" allowBlank="1" showInputMessage="1" showErrorMessage="1" sqref="M7:M10" xr:uid="{00000000-0002-0000-0200-000004000000}">
      <formula1>"1~2, 3"</formula1>
    </dataValidation>
    <dataValidation type="list" allowBlank="1" showInputMessage="1" showErrorMessage="1" sqref="F7:F10" xr:uid="{8BA4C80C-1183-41C7-8566-BB9DAEDEC0D0}">
      <formula1>"일반고,자율고,특목고,특성화고"</formula1>
    </dataValidation>
  </dataValidations>
  <pageMargins left="0.15748031496062992" right="0.19685039370078741" top="0.74803149606299213" bottom="0.74803149606299213" header="0.31496062992125984" footer="0.31496062992125984"/>
  <pageSetup paperSize="9" scale="21" orientation="landscape" cellComments="asDisplayed" horizontalDpi="300" verticalDpi="300" r:id="rId1"/>
  <colBreaks count="1" manualBreakCount="1">
    <brk id="18" max="1048575" man="1"/>
  </colBreaks>
  <ignoredErrors>
    <ignoredError sqref="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(초등학교) 2026 학사일정(여주시)</vt:lpstr>
      <vt:lpstr>(중학교) 2026 학사일정(OO시도)</vt:lpstr>
      <vt:lpstr>(고등학교) 2026 학사일정(OO시도)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홍정화</dc:creator>
  <cp:lastModifiedBy>정지범</cp:lastModifiedBy>
  <cp:lastPrinted>2025-02-12T06:13:17Z</cp:lastPrinted>
  <dcterms:created xsi:type="dcterms:W3CDTF">2014-04-19T07:32:18Z</dcterms:created>
  <dcterms:modified xsi:type="dcterms:W3CDTF">2026-07-05T00:22:13Z</dcterms:modified>
</cp:coreProperties>
</file>